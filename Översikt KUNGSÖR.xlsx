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45811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4</v>
      </c>
      <c r="I2" t="n">
        <v>8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19</v>
      </c>
      <c r="R2" s="2" t="inlineStr">
        <is>
          <t>Knärot
Entita
Motaggsvamp
Orange taggsvamp
Reliktbock
Skrovlig taggsvamp
Spillkråka
Tallticka
Talltita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9320-2025</t>
        </is>
      </c>
      <c r="B3" s="1" t="n">
        <v>45714</v>
      </c>
      <c r="C3" s="1" t="n">
        <v>45811</v>
      </c>
      <c r="D3" t="inlineStr">
        <is>
          <t>VÄSTMANLANDS LÄN</t>
        </is>
      </c>
      <c r="E3" t="inlineStr">
        <is>
          <t>KUNGSÖR</t>
        </is>
      </c>
      <c r="G3" t="n">
        <v>12.4</v>
      </c>
      <c r="H3" t="n">
        <v>6</v>
      </c>
      <c r="I3" t="n">
        <v>7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16</v>
      </c>
      <c r="R3" s="2" t="inlineStr">
        <is>
          <t>Knärot
Leptoporus erubescens
Spillkråka
Talltita
Ullticka
Vedskivlav
Björksplintborre
Blåmossa
Bronshjon
Grönpyrola
Mindre märgborre
Vedticka
Vågbandad barkbock
Tjäder
Skogsödla
Revlummer</t>
        </is>
      </c>
      <c r="S3">
        <f>HYPERLINK("https://klasma.github.io/Logging_1960/artfynd/A 9320-2025 artfynd.xlsx", "A 9320-2025")</f>
        <v/>
      </c>
      <c r="T3">
        <f>HYPERLINK("https://klasma.github.io/Logging_1960/kartor/A 9320-2025 karta.png", "A 9320-2025")</f>
        <v/>
      </c>
      <c r="U3">
        <f>HYPERLINK("https://klasma.github.io/Logging_1960/knärot/A 9320-2025 karta knärot.png", "A 9320-2025")</f>
        <v/>
      </c>
      <c r="V3">
        <f>HYPERLINK("https://klasma.github.io/Logging_1960/klagomål/A 9320-2025 FSC-klagomål.docx", "A 9320-2025")</f>
        <v/>
      </c>
      <c r="W3">
        <f>HYPERLINK("https://klasma.github.io/Logging_1960/klagomålsmail/A 9320-2025 FSC-klagomål mail.docx", "A 9320-2025")</f>
        <v/>
      </c>
      <c r="X3">
        <f>HYPERLINK("https://klasma.github.io/Logging_1960/tillsyn/A 9320-2025 tillsynsbegäran.docx", "A 9320-2025")</f>
        <v/>
      </c>
      <c r="Y3">
        <f>HYPERLINK("https://klasma.github.io/Logging_1960/tillsynsmail/A 9320-2025 tillsynsbegäran mail.docx", "A 9320-2025")</f>
        <v/>
      </c>
      <c r="Z3">
        <f>HYPERLINK("https://klasma.github.io/Logging_1960/fåglar/A 9320-2025 prioriterade fågelarter.docx", "A 9320-2025")</f>
        <v/>
      </c>
    </row>
    <row r="4" ht="15" customHeight="1">
      <c r="A4" t="inlineStr">
        <is>
          <t>A 62039-2023</t>
        </is>
      </c>
      <c r="B4" s="1" t="n">
        <v>45265</v>
      </c>
      <c r="C4" s="1" t="n">
        <v>45811</v>
      </c>
      <c r="D4" t="inlineStr">
        <is>
          <t>VÄSTMANLANDS LÄN</t>
        </is>
      </c>
      <c r="E4" t="inlineStr">
        <is>
          <t>KUNGSÖR</t>
        </is>
      </c>
      <c r="G4" t="n">
        <v>20.2</v>
      </c>
      <c r="H4" t="n">
        <v>3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Ullticka
Björksplintborre
Mindre märgborre
Vågbandad barkbock
Vanlig groda
Blåsippa</t>
        </is>
      </c>
      <c r="S4">
        <f>HYPERLINK("https://klasma.github.io/Logging_1960/artfynd/A 62039-2023 artfynd.xlsx", "A 62039-2023")</f>
        <v/>
      </c>
      <c r="T4">
        <f>HYPERLINK("https://klasma.github.io/Logging_1960/kartor/A 62039-2023 karta.png", "A 62039-2023")</f>
        <v/>
      </c>
      <c r="V4">
        <f>HYPERLINK("https://klasma.github.io/Logging_1960/klagomål/A 62039-2023 FSC-klagomål.docx", "A 62039-2023")</f>
        <v/>
      </c>
      <c r="W4">
        <f>HYPERLINK("https://klasma.github.io/Logging_1960/klagomålsmail/A 62039-2023 FSC-klagomål mail.docx", "A 62039-2023")</f>
        <v/>
      </c>
      <c r="X4">
        <f>HYPERLINK("https://klasma.github.io/Logging_1960/tillsyn/A 62039-2023 tillsynsbegäran.docx", "A 62039-2023")</f>
        <v/>
      </c>
      <c r="Y4">
        <f>HYPERLINK("https://klasma.github.io/Logging_1960/tillsynsmail/A 62039-2023 tillsynsbegäran mail.docx", "A 62039-2023")</f>
        <v/>
      </c>
      <c r="Z4">
        <f>HYPERLINK("https://klasma.github.io/Logging_1960/fåglar/A 62039-2023 prioriterade fågelarter.docx", "A 62039-2023")</f>
        <v/>
      </c>
    </row>
    <row r="5" ht="15" customHeight="1">
      <c r="A5" t="inlineStr">
        <is>
          <t>A 7772-2024</t>
        </is>
      </c>
      <c r="B5" s="1" t="n">
        <v>45349</v>
      </c>
      <c r="C5" s="1" t="n">
        <v>45811</v>
      </c>
      <c r="D5" t="inlineStr">
        <is>
          <t>VÄSTMANLANDS LÄN</t>
        </is>
      </c>
      <c r="E5" t="inlineStr">
        <is>
          <t>KUNGSÖR</t>
        </is>
      </c>
      <c r="G5" t="n">
        <v>21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Björktrast
Spillkråka
Ullticka
Björksplintborre
Mindre märgborre
Vanlig groda
Blåsippa</t>
        </is>
      </c>
      <c r="S5">
        <f>HYPERLINK("https://klasma.github.io/Logging_1960/artfynd/A 7772-2024 artfynd.xlsx", "A 7772-2024")</f>
        <v/>
      </c>
      <c r="T5">
        <f>HYPERLINK("https://klasma.github.io/Logging_1960/kartor/A 7772-2024 karta.png", "A 7772-2024")</f>
        <v/>
      </c>
      <c r="V5">
        <f>HYPERLINK("https://klasma.github.io/Logging_1960/klagomål/A 7772-2024 FSC-klagomål.docx", "A 7772-2024")</f>
        <v/>
      </c>
      <c r="W5">
        <f>HYPERLINK("https://klasma.github.io/Logging_1960/klagomålsmail/A 7772-2024 FSC-klagomål mail.docx", "A 7772-2024")</f>
        <v/>
      </c>
      <c r="X5">
        <f>HYPERLINK("https://klasma.github.io/Logging_1960/tillsyn/A 7772-2024 tillsynsbegäran.docx", "A 7772-2024")</f>
        <v/>
      </c>
      <c r="Y5">
        <f>HYPERLINK("https://klasma.github.io/Logging_1960/tillsynsmail/A 7772-2024 tillsynsbegäran mail.docx", "A 7772-2024")</f>
        <v/>
      </c>
      <c r="Z5">
        <f>HYPERLINK("https://klasma.github.io/Logging_1960/fåglar/A 7772-2024 prioriterade fågelarter.docx", "A 7772-2024")</f>
        <v/>
      </c>
    </row>
    <row r="6" ht="15" customHeight="1">
      <c r="A6" t="inlineStr">
        <is>
          <t>A 8475-2025</t>
        </is>
      </c>
      <c r="B6" s="1" t="n">
        <v>45709</v>
      </c>
      <c r="C6" s="1" t="n">
        <v>45811</v>
      </c>
      <c r="D6" t="inlineStr">
        <is>
          <t>VÄSTMANLANDS LÄN</t>
        </is>
      </c>
      <c r="E6" t="inlineStr">
        <is>
          <t>KUNGSÖR</t>
        </is>
      </c>
      <c r="G6" t="n">
        <v>3.5</v>
      </c>
      <c r="H6" t="n">
        <v>3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Knärot
Spillkråka
Talltita
Ullticka
Grönpyrola
Vedticka</t>
        </is>
      </c>
      <c r="S6">
        <f>HYPERLINK("https://klasma.github.io/Logging_1960/artfynd/A 8475-2025 artfynd.xlsx", "A 8475-2025")</f>
        <v/>
      </c>
      <c r="T6">
        <f>HYPERLINK("https://klasma.github.io/Logging_1960/kartor/A 8475-2025 karta.png", "A 8475-2025")</f>
        <v/>
      </c>
      <c r="U6">
        <f>HYPERLINK("https://klasma.github.io/Logging_1960/knärot/A 8475-2025 karta knärot.png", "A 8475-2025")</f>
        <v/>
      </c>
      <c r="V6">
        <f>HYPERLINK("https://klasma.github.io/Logging_1960/klagomål/A 8475-2025 FSC-klagomål.docx", "A 8475-2025")</f>
        <v/>
      </c>
      <c r="W6">
        <f>HYPERLINK("https://klasma.github.io/Logging_1960/klagomålsmail/A 8475-2025 FSC-klagomål mail.docx", "A 8475-2025")</f>
        <v/>
      </c>
      <c r="X6">
        <f>HYPERLINK("https://klasma.github.io/Logging_1960/tillsyn/A 8475-2025 tillsynsbegäran.docx", "A 8475-2025")</f>
        <v/>
      </c>
      <c r="Y6">
        <f>HYPERLINK("https://klasma.github.io/Logging_1960/tillsynsmail/A 8475-2025 tillsynsbegäran mail.docx", "A 8475-2025")</f>
        <v/>
      </c>
      <c r="Z6">
        <f>HYPERLINK("https://klasma.github.io/Logging_1960/fåglar/A 8475-2025 prioriterade fågelarter.docx", "A 8475-2025")</f>
        <v/>
      </c>
    </row>
    <row r="7" ht="15" customHeight="1">
      <c r="A7" t="inlineStr">
        <is>
          <t>A 61897-2023</t>
        </is>
      </c>
      <c r="B7" s="1" t="n">
        <v>45265</v>
      </c>
      <c r="C7" s="1" t="n">
        <v>45811</v>
      </c>
      <c r="D7" t="inlineStr">
        <is>
          <t>VÄSTMANLANDS LÄN</t>
        </is>
      </c>
      <c r="E7" t="inlineStr">
        <is>
          <t>KUNGSÖR</t>
        </is>
      </c>
      <c r="G7" t="n">
        <v>4.3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Hasselticka
Blåsippa</t>
        </is>
      </c>
      <c r="S7">
        <f>HYPERLINK("https://klasma.github.io/Logging_1960/artfynd/A 61897-2023 artfynd.xlsx", "A 61897-2023")</f>
        <v/>
      </c>
      <c r="T7">
        <f>HYPERLINK("https://klasma.github.io/Logging_1960/kartor/A 61897-2023 karta.png", "A 61897-2023")</f>
        <v/>
      </c>
      <c r="V7">
        <f>HYPERLINK("https://klasma.github.io/Logging_1960/klagomål/A 61897-2023 FSC-klagomål.docx", "A 61897-2023")</f>
        <v/>
      </c>
      <c r="W7">
        <f>HYPERLINK("https://klasma.github.io/Logging_1960/klagomålsmail/A 61897-2023 FSC-klagomål mail.docx", "A 61897-2023")</f>
        <v/>
      </c>
      <c r="X7">
        <f>HYPERLINK("https://klasma.github.io/Logging_1960/tillsyn/A 61897-2023 tillsynsbegäran.docx", "A 61897-2023")</f>
        <v/>
      </c>
      <c r="Y7">
        <f>HYPERLINK("https://klasma.github.io/Logging_1960/tillsynsmail/A 61897-2023 tillsynsbegäran mail.docx", "A 61897-2023")</f>
        <v/>
      </c>
      <c r="Z7">
        <f>HYPERLINK("https://klasma.github.io/Logging_1960/fåglar/A 61897-2023 prioriterade fågelarter.docx", "A 61897-2023")</f>
        <v/>
      </c>
    </row>
    <row r="8" ht="15" customHeight="1">
      <c r="A8" t="inlineStr">
        <is>
          <t>A 7771-2024</t>
        </is>
      </c>
      <c r="B8" s="1" t="n">
        <v>45349</v>
      </c>
      <c r="C8" s="1" t="n">
        <v>45811</v>
      </c>
      <c r="D8" t="inlineStr">
        <is>
          <t>VÄSTMANLANDS LÄN</t>
        </is>
      </c>
      <c r="E8" t="inlineStr">
        <is>
          <t>KUNGSÖR</t>
        </is>
      </c>
      <c r="G8" t="n">
        <v>4.1</v>
      </c>
      <c r="H8" t="n">
        <v>2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Spillkråka
Hasselticka
Blåsippa</t>
        </is>
      </c>
      <c r="S8">
        <f>HYPERLINK("https://klasma.github.io/Logging_1960/artfynd/A 7771-2024 artfynd.xlsx", "A 7771-2024")</f>
        <v/>
      </c>
      <c r="T8">
        <f>HYPERLINK("https://klasma.github.io/Logging_1960/kartor/A 7771-2024 karta.png", "A 7771-2024")</f>
        <v/>
      </c>
      <c r="V8">
        <f>HYPERLINK("https://klasma.github.io/Logging_1960/klagomål/A 7771-2024 FSC-klagomål.docx", "A 7771-2024")</f>
        <v/>
      </c>
      <c r="W8">
        <f>HYPERLINK("https://klasma.github.io/Logging_1960/klagomålsmail/A 7771-2024 FSC-klagomål mail.docx", "A 7771-2024")</f>
        <v/>
      </c>
      <c r="X8">
        <f>HYPERLINK("https://klasma.github.io/Logging_1960/tillsyn/A 7771-2024 tillsynsbegäran.docx", "A 7771-2024")</f>
        <v/>
      </c>
      <c r="Y8">
        <f>HYPERLINK("https://klasma.github.io/Logging_1960/tillsynsmail/A 7771-2024 tillsynsbegäran mail.docx", "A 7771-2024")</f>
        <v/>
      </c>
      <c r="Z8">
        <f>HYPERLINK("https://klasma.github.io/Logging_1960/fåglar/A 7771-2024 prioriterade fågelarter.docx", "A 7771-2024")</f>
        <v/>
      </c>
    </row>
    <row r="9" ht="15" customHeight="1">
      <c r="A9" t="inlineStr">
        <is>
          <t>A 59332-2022</t>
        </is>
      </c>
      <c r="B9" s="1" t="n">
        <v>44904</v>
      </c>
      <c r="C9" s="1" t="n">
        <v>45811</v>
      </c>
      <c r="D9" t="inlineStr">
        <is>
          <t>VÄSTMANLANDS LÄN</t>
        </is>
      </c>
      <c r="E9" t="inlineStr">
        <is>
          <t>KUNGSÖR</t>
        </is>
      </c>
      <c r="G9" t="n">
        <v>4.8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Ekticka
Ullticka</t>
        </is>
      </c>
      <c r="S9">
        <f>HYPERLINK("https://klasma.github.io/Logging_1960/artfynd/A 59332-2022 artfynd.xlsx", "A 59332-2022")</f>
        <v/>
      </c>
      <c r="T9">
        <f>HYPERLINK("https://klasma.github.io/Logging_1960/kartor/A 59332-2022 karta.png", "A 59332-2022")</f>
        <v/>
      </c>
      <c r="V9">
        <f>HYPERLINK("https://klasma.github.io/Logging_1960/klagomål/A 59332-2022 FSC-klagomål.docx", "A 59332-2022")</f>
        <v/>
      </c>
      <c r="W9">
        <f>HYPERLINK("https://klasma.github.io/Logging_1960/klagomålsmail/A 59332-2022 FSC-klagomål mail.docx", "A 59332-2022")</f>
        <v/>
      </c>
      <c r="X9">
        <f>HYPERLINK("https://klasma.github.io/Logging_1960/tillsyn/A 59332-2022 tillsynsbegäran.docx", "A 59332-2022")</f>
        <v/>
      </c>
      <c r="Y9">
        <f>HYPERLINK("https://klasma.github.io/Logging_1960/tillsynsmail/A 59332-2022 tillsynsbegäran mail.docx", "A 59332-2022")</f>
        <v/>
      </c>
    </row>
    <row r="10" ht="15" customHeight="1">
      <c r="A10" t="inlineStr">
        <is>
          <t>A 53870-2022</t>
        </is>
      </c>
      <c r="B10" s="1" t="n">
        <v>44880</v>
      </c>
      <c r="C10" s="1" t="n">
        <v>45811</v>
      </c>
      <c r="D10" t="inlineStr">
        <is>
          <t>VÄSTMANLANDS LÄN</t>
        </is>
      </c>
      <c r="E10" t="inlineStr">
        <is>
          <t>KUNGSÖR</t>
        </is>
      </c>
      <c r="F10" t="inlineStr">
        <is>
          <t>Allmännings- och besparingsskogar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HYPERLINK("https://klasma.github.io/Logging_1960/artfynd/A 53870-2022 artfynd.xlsx", "A 53870-2022")</f>
        <v/>
      </c>
      <c r="T10">
        <f>HYPERLINK("https://klasma.github.io/Logging_1960/kartor/A 53870-2022 karta.png", "A 53870-2022")</f>
        <v/>
      </c>
      <c r="V10">
        <f>HYPERLINK("https://klasma.github.io/Logging_1960/klagomål/A 53870-2022 FSC-klagomål.docx", "A 53870-2022")</f>
        <v/>
      </c>
      <c r="W10">
        <f>HYPERLINK("https://klasma.github.io/Logging_1960/klagomålsmail/A 53870-2022 FSC-klagomål mail.docx", "A 53870-2022")</f>
        <v/>
      </c>
      <c r="X10">
        <f>HYPERLINK("https://klasma.github.io/Logging_1960/tillsyn/A 53870-2022 tillsynsbegäran.docx", "A 53870-2022")</f>
        <v/>
      </c>
      <c r="Y10">
        <f>HYPERLINK("https://klasma.github.io/Logging_1960/tillsynsmail/A 53870-2022 tillsynsbegäran mail.docx", "A 53870-2022")</f>
        <v/>
      </c>
    </row>
    <row r="11" ht="15" customHeight="1">
      <c r="A11" t="inlineStr">
        <is>
          <t>A 47549-2024</t>
        </is>
      </c>
      <c r="B11" s="1" t="n">
        <v>45587</v>
      </c>
      <c r="C11" s="1" t="n">
        <v>45811</v>
      </c>
      <c r="D11" t="inlineStr">
        <is>
          <t>VÄSTMANLANDS LÄN</t>
        </is>
      </c>
      <c r="E11" t="inlineStr">
        <is>
          <t>KUNGSÖR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Ullticka</t>
        </is>
      </c>
      <c r="S11">
        <f>HYPERLINK("https://klasma.github.io/Logging_1960/artfynd/A 47549-2024 artfynd.xlsx", "A 47549-2024")</f>
        <v/>
      </c>
      <c r="T11">
        <f>HYPERLINK("https://klasma.github.io/Logging_1960/kartor/A 47549-2024 karta.png", "A 47549-2024")</f>
        <v/>
      </c>
      <c r="V11">
        <f>HYPERLINK("https://klasma.github.io/Logging_1960/klagomål/A 47549-2024 FSC-klagomål.docx", "A 47549-2024")</f>
        <v/>
      </c>
      <c r="W11">
        <f>HYPERLINK("https://klasma.github.io/Logging_1960/klagomålsmail/A 47549-2024 FSC-klagomål mail.docx", "A 47549-2024")</f>
        <v/>
      </c>
      <c r="X11">
        <f>HYPERLINK("https://klasma.github.io/Logging_1960/tillsyn/A 47549-2024 tillsynsbegäran.docx", "A 47549-2024")</f>
        <v/>
      </c>
      <c r="Y11">
        <f>HYPERLINK("https://klasma.github.io/Logging_1960/tillsynsmail/A 47549-2024 tillsynsbegäran mail.docx", "A 47549-2024")</f>
        <v/>
      </c>
    </row>
    <row r="12" ht="15" customHeight="1">
      <c r="A12" t="inlineStr">
        <is>
          <t>A 1043-2025</t>
        </is>
      </c>
      <c r="B12" s="1" t="n">
        <v>45666</v>
      </c>
      <c r="C12" s="1" t="n">
        <v>45811</v>
      </c>
      <c r="D12" t="inlineStr">
        <is>
          <t>VÄSTMANLANDS LÄN</t>
        </is>
      </c>
      <c r="E12" t="inlineStr">
        <is>
          <t>KUNGSÖR</t>
        </is>
      </c>
      <c r="G12" t="n">
        <v>2.5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HYPERLINK("https://klasma.github.io/Logging_1960/artfynd/A 1043-2025 artfynd.xlsx", "A 1043-2025")</f>
        <v/>
      </c>
      <c r="T12">
        <f>HYPERLINK("https://klasma.github.io/Logging_1960/kartor/A 1043-2025 karta.png", "A 1043-2025")</f>
        <v/>
      </c>
      <c r="U12">
        <f>HYPERLINK("https://klasma.github.io/Logging_1960/knärot/A 1043-2025 karta knärot.png", "A 1043-2025")</f>
        <v/>
      </c>
      <c r="V12">
        <f>HYPERLINK("https://klasma.github.io/Logging_1960/klagomål/A 1043-2025 FSC-klagomål.docx", "A 1043-2025")</f>
        <v/>
      </c>
      <c r="W12">
        <f>HYPERLINK("https://klasma.github.io/Logging_1960/klagomålsmail/A 1043-2025 FSC-klagomål mail.docx", "A 1043-2025")</f>
        <v/>
      </c>
      <c r="X12">
        <f>HYPERLINK("https://klasma.github.io/Logging_1960/tillsyn/A 1043-2025 tillsynsbegäran.docx", "A 1043-2025")</f>
        <v/>
      </c>
      <c r="Y12">
        <f>HYPERLINK("https://klasma.github.io/Logging_1960/tillsynsmail/A 1043-2025 tillsynsbegäran mail.docx", "A 1043-2025")</f>
        <v/>
      </c>
    </row>
    <row r="13" ht="15" customHeight="1">
      <c r="A13" t="inlineStr">
        <is>
          <t>A 19950-2019</t>
        </is>
      </c>
      <c r="B13" s="1" t="n">
        <v>43569</v>
      </c>
      <c r="C13" s="1" t="n">
        <v>45811</v>
      </c>
      <c r="D13" t="inlineStr">
        <is>
          <t>VÄSTMANLANDS LÄN</t>
        </is>
      </c>
      <c r="E13" t="inlineStr">
        <is>
          <t>KUNGSÖR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21642-2019</t>
        </is>
      </c>
      <c r="B14" s="1" t="n">
        <v>43581</v>
      </c>
      <c r="C14" s="1" t="n">
        <v>45811</v>
      </c>
      <c r="D14" t="inlineStr">
        <is>
          <t>VÄSTMANLANDS LÄN</t>
        </is>
      </c>
      <c r="E14" t="inlineStr">
        <is>
          <t>KUNGSÖR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24147-2019</t>
        </is>
      </c>
      <c r="B15" s="1" t="n">
        <v>43598</v>
      </c>
      <c r="C15" s="1" t="n">
        <v>45811</v>
      </c>
      <c r="D15" t="inlineStr">
        <is>
          <t>VÄSTMANLANDS LÄN</t>
        </is>
      </c>
      <c r="E15" t="inlineStr">
        <is>
          <t>KUNGSÖR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43920-2019</t>
        </is>
      </c>
      <c r="B16" s="1" t="n">
        <v>43707</v>
      </c>
      <c r="C16" s="1" t="n">
        <v>45811</v>
      </c>
      <c r="D16" t="inlineStr">
        <is>
          <t>VÄSTMANLANDS LÄN</t>
        </is>
      </c>
      <c r="E16" t="inlineStr">
        <is>
          <t>KUNGSÖR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44699-2019</t>
        </is>
      </c>
      <c r="B17" s="1" t="n">
        <v>43712</v>
      </c>
      <c r="C17" s="1" t="n">
        <v>45811</v>
      </c>
      <c r="D17" t="inlineStr">
        <is>
          <t>VÄSTMANLANDS LÄN</t>
        </is>
      </c>
      <c r="E17" t="inlineStr">
        <is>
          <t>KUNGSÖR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44840-2019</t>
        </is>
      </c>
      <c r="B18" s="1" t="n">
        <v>43712</v>
      </c>
      <c r="C18" s="1" t="n">
        <v>45811</v>
      </c>
      <c r="D18" t="inlineStr">
        <is>
          <t>VÄSTMANLANDS LÄN</t>
        </is>
      </c>
      <c r="E18" t="inlineStr">
        <is>
          <t>KUNGSÖR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49411-2019</t>
        </is>
      </c>
      <c r="B19" s="1" t="n">
        <v>43732</v>
      </c>
      <c r="C19" s="1" t="n">
        <v>45811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51750-2019</t>
        </is>
      </c>
      <c r="B20" s="1" t="n">
        <v>43741</v>
      </c>
      <c r="C20" s="1" t="n">
        <v>45811</v>
      </c>
      <c r="D20" t="inlineStr">
        <is>
          <t>VÄSTMANLANDS LÄN</t>
        </is>
      </c>
      <c r="E20" t="inlineStr">
        <is>
          <t>KUNGSÖR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51749-2019</t>
        </is>
      </c>
      <c r="B21" s="1" t="n">
        <v>43741</v>
      </c>
      <c r="C21" s="1" t="n">
        <v>45811</v>
      </c>
      <c r="D21" t="inlineStr">
        <is>
          <t>VÄSTMANLANDS LÄN</t>
        </is>
      </c>
      <c r="E21" t="inlineStr">
        <is>
          <t>KUNGSÖR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54846-2019</t>
        </is>
      </c>
      <c r="B22" s="1" t="n">
        <v>43755</v>
      </c>
      <c r="C22" s="1" t="n">
        <v>45811</v>
      </c>
      <c r="D22" t="inlineStr">
        <is>
          <t>VÄSTMANLANDS LÄN</t>
        </is>
      </c>
      <c r="E22" t="inlineStr">
        <is>
          <t>KUNGSÖR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59870-2019</t>
        </is>
      </c>
      <c r="B23" s="1" t="n">
        <v>43777</v>
      </c>
      <c r="C23" s="1" t="n">
        <v>45811</v>
      </c>
      <c r="D23" t="inlineStr">
        <is>
          <t>VÄSTMANLANDS LÄN</t>
        </is>
      </c>
      <c r="E23" t="inlineStr">
        <is>
          <t>KUNGSÖR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62692-2019</t>
        </is>
      </c>
      <c r="B24" s="1" t="n">
        <v>43789</v>
      </c>
      <c r="C24" s="1" t="n">
        <v>45811</v>
      </c>
      <c r="D24" t="inlineStr">
        <is>
          <t>VÄSTMANLANDS LÄN</t>
        </is>
      </c>
      <c r="E24" t="inlineStr">
        <is>
          <t>KUNGSÖR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62686-2019</t>
        </is>
      </c>
      <c r="B25" s="1" t="n">
        <v>43789</v>
      </c>
      <c r="C25" s="1" t="n">
        <v>45811</v>
      </c>
      <c r="D25" t="inlineStr">
        <is>
          <t>VÄSTMANLANDS LÄN</t>
        </is>
      </c>
      <c r="E25" t="inlineStr">
        <is>
          <t>KUNGSÖR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63604-2019</t>
        </is>
      </c>
      <c r="B26" s="1" t="n">
        <v>43795</v>
      </c>
      <c r="C26" s="1" t="n">
        <v>45811</v>
      </c>
      <c r="D26" t="inlineStr">
        <is>
          <t>VÄSTMANLANDS LÄN</t>
        </is>
      </c>
      <c r="E26" t="inlineStr">
        <is>
          <t>KUNGSÖR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64940-2019</t>
        </is>
      </c>
      <c r="B27" s="1" t="n">
        <v>43801</v>
      </c>
      <c r="C27" s="1" t="n">
        <v>45811</v>
      </c>
      <c r="D27" t="inlineStr">
        <is>
          <t>VÄSTMANLANDS LÄN</t>
        </is>
      </c>
      <c r="E27" t="inlineStr">
        <is>
          <t>KUNGSÖR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65848-2019</t>
        </is>
      </c>
      <c r="B28" s="1" t="n">
        <v>43805</v>
      </c>
      <c r="C28" s="1" t="n">
        <v>45811</v>
      </c>
      <c r="D28" t="inlineStr">
        <is>
          <t>VÄSTMANLANDS LÄN</t>
        </is>
      </c>
      <c r="E28" t="inlineStr">
        <is>
          <t>KUNGSÖR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66583-2019</t>
        </is>
      </c>
      <c r="B29" s="1" t="n">
        <v>43809</v>
      </c>
      <c r="C29" s="1" t="n">
        <v>45811</v>
      </c>
      <c r="D29" t="inlineStr">
        <is>
          <t>VÄSTMANLANDS LÄN</t>
        </is>
      </c>
      <c r="E29" t="inlineStr">
        <is>
          <t>KUNGSÖR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68900-2019</t>
        </is>
      </c>
      <c r="B30" s="1" t="n">
        <v>43822</v>
      </c>
      <c r="C30" s="1" t="n">
        <v>45811</v>
      </c>
      <c r="D30" t="inlineStr">
        <is>
          <t>VÄSTMANLANDS LÄN</t>
        </is>
      </c>
      <c r="E30" t="inlineStr">
        <is>
          <t>KUNGSÖR</t>
        </is>
      </c>
      <c r="F30" t="inlineStr">
        <is>
          <t>Kommuner</t>
        </is>
      </c>
      <c r="G30" t="n">
        <v>17.4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913-2020</t>
        </is>
      </c>
      <c r="B31" s="1" t="n">
        <v>43839</v>
      </c>
      <c r="C31" s="1" t="n">
        <v>45811</v>
      </c>
      <c r="D31" t="inlineStr">
        <is>
          <t>VÄSTMANLANDS LÄN</t>
        </is>
      </c>
      <c r="E31" t="inlineStr">
        <is>
          <t>KUNGSÖR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6979-2020</t>
        </is>
      </c>
      <c r="B32" s="1" t="n">
        <v>43868</v>
      </c>
      <c r="C32" s="1" t="n">
        <v>45811</v>
      </c>
      <c r="D32" t="inlineStr">
        <is>
          <t>VÄSTMANLANDS LÄN</t>
        </is>
      </c>
      <c r="E32" t="inlineStr">
        <is>
          <t>KUNGSÖR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7143-2020</t>
        </is>
      </c>
      <c r="B33" s="1" t="n">
        <v>43869</v>
      </c>
      <c r="C33" s="1" t="n">
        <v>45811</v>
      </c>
      <c r="D33" t="inlineStr">
        <is>
          <t>VÄSTMANLANDS LÄN</t>
        </is>
      </c>
      <c r="E33" t="inlineStr">
        <is>
          <t>KUNGSÖR</t>
        </is>
      </c>
      <c r="G33" t="n">
        <v>4.2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7260-2020</t>
        </is>
      </c>
      <c r="B34" s="1" t="n">
        <v>43871</v>
      </c>
      <c r="C34" s="1" t="n">
        <v>45811</v>
      </c>
      <c r="D34" t="inlineStr">
        <is>
          <t>VÄSTMANLANDS LÄN</t>
        </is>
      </c>
      <c r="E34" t="inlineStr">
        <is>
          <t>KUNGSÖR</t>
        </is>
      </c>
      <c r="F34" t="inlineStr">
        <is>
          <t>Allmännings- och besparingsskogar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7310-2020</t>
        </is>
      </c>
      <c r="B35" s="1" t="n">
        <v>43871</v>
      </c>
      <c r="C35" s="1" t="n">
        <v>45811</v>
      </c>
      <c r="D35" t="inlineStr">
        <is>
          <t>VÄSTMANLANDS LÄN</t>
        </is>
      </c>
      <c r="E35" t="inlineStr">
        <is>
          <t>KUNGSÖR</t>
        </is>
      </c>
      <c r="F35" t="inlineStr">
        <is>
          <t>Allmännings- och besparingsskogar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8147-2020</t>
        </is>
      </c>
      <c r="B36" s="1" t="n">
        <v>43874</v>
      </c>
      <c r="C36" s="1" t="n">
        <v>45811</v>
      </c>
      <c r="D36" t="inlineStr">
        <is>
          <t>VÄSTMANLANDS LÄN</t>
        </is>
      </c>
      <c r="E36" t="inlineStr">
        <is>
          <t>KUNGSÖR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8145-2020</t>
        </is>
      </c>
      <c r="B37" s="1" t="n">
        <v>43874</v>
      </c>
      <c r="C37" s="1" t="n">
        <v>45811</v>
      </c>
      <c r="D37" t="inlineStr">
        <is>
          <t>VÄSTMANLANDS LÄN</t>
        </is>
      </c>
      <c r="E37" t="inlineStr">
        <is>
          <t>KUNGSÖR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10302-2020</t>
        </is>
      </c>
      <c r="B38" s="1" t="n">
        <v>43885</v>
      </c>
      <c r="C38" s="1" t="n">
        <v>45811</v>
      </c>
      <c r="D38" t="inlineStr">
        <is>
          <t>VÄSTMANLANDS LÄN</t>
        </is>
      </c>
      <c r="E38" t="inlineStr">
        <is>
          <t>KUNGSÖR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10299-2020</t>
        </is>
      </c>
      <c r="B39" s="1" t="n">
        <v>43885</v>
      </c>
      <c r="C39" s="1" t="n">
        <v>45811</v>
      </c>
      <c r="D39" t="inlineStr">
        <is>
          <t>VÄSTMANLANDS LÄN</t>
        </is>
      </c>
      <c r="E39" t="inlineStr">
        <is>
          <t>KUNGSÖR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12184-2020</t>
        </is>
      </c>
      <c r="B40" s="1" t="n">
        <v>43895</v>
      </c>
      <c r="C40" s="1" t="n">
        <v>45811</v>
      </c>
      <c r="D40" t="inlineStr">
        <is>
          <t>VÄSTMANLANDS LÄN</t>
        </is>
      </c>
      <c r="E40" t="inlineStr">
        <is>
          <t>KUNGSÖR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13692-2020</t>
        </is>
      </c>
      <c r="B41" s="1" t="n">
        <v>43902</v>
      </c>
      <c r="C41" s="1" t="n">
        <v>45811</v>
      </c>
      <c r="D41" t="inlineStr">
        <is>
          <t>VÄSTMANLANDS LÄN</t>
        </is>
      </c>
      <c r="E41" t="inlineStr">
        <is>
          <t>KUNGSÖR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13695-2020</t>
        </is>
      </c>
      <c r="B42" s="1" t="n">
        <v>43902</v>
      </c>
      <c r="C42" s="1" t="n">
        <v>45811</v>
      </c>
      <c r="D42" t="inlineStr">
        <is>
          <t>VÄSTMANLANDS LÄN</t>
        </is>
      </c>
      <c r="E42" t="inlineStr">
        <is>
          <t>KUNGSÖR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22455-2020</t>
        </is>
      </c>
      <c r="B43" s="1" t="n">
        <v>43963</v>
      </c>
      <c r="C43" s="1" t="n">
        <v>45811</v>
      </c>
      <c r="D43" t="inlineStr">
        <is>
          <t>VÄSTMANLANDS LÄN</t>
        </is>
      </c>
      <c r="E43" t="inlineStr">
        <is>
          <t>KUNGSÖR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28947-2020</t>
        </is>
      </c>
      <c r="B44" s="1" t="n">
        <v>44000</v>
      </c>
      <c r="C44" s="1" t="n">
        <v>45811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36170-2020</t>
        </is>
      </c>
      <c r="B45" s="1" t="n">
        <v>44048</v>
      </c>
      <c r="C45" s="1" t="n">
        <v>45811</v>
      </c>
      <c r="D45" t="inlineStr">
        <is>
          <t>VÄSTMANLANDS LÄN</t>
        </is>
      </c>
      <c r="E45" t="inlineStr">
        <is>
          <t>KUNGSÖR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41654-2020</t>
        </is>
      </c>
      <c r="B46" s="1" t="n">
        <v>44074</v>
      </c>
      <c r="C46" s="1" t="n">
        <v>45811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14.1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44474-2020</t>
        </is>
      </c>
      <c r="B47" s="1" t="n">
        <v>44084</v>
      </c>
      <c r="C47" s="1" t="n">
        <v>45811</v>
      </c>
      <c r="D47" t="inlineStr">
        <is>
          <t>VÄSTMANLANDS LÄN</t>
        </is>
      </c>
      <c r="E47" t="inlineStr">
        <is>
          <t>KUNGSÖR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45923-2020</t>
        </is>
      </c>
      <c r="B48" s="1" t="n">
        <v>44091</v>
      </c>
      <c r="C48" s="1" t="n">
        <v>45811</v>
      </c>
      <c r="D48" t="inlineStr">
        <is>
          <t>VÄSTMANLANDS LÄN</t>
        </is>
      </c>
      <c r="E48" t="inlineStr">
        <is>
          <t>KUNGSÖR</t>
        </is>
      </c>
      <c r="F48" t="inlineStr">
        <is>
          <t>Allmännings- och besparingsskogar</t>
        </is>
      </c>
      <c r="G48" t="n">
        <v>15.2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46014-2020</t>
        </is>
      </c>
      <c r="B49" s="1" t="n">
        <v>44091</v>
      </c>
      <c r="C49" s="1" t="n">
        <v>45811</v>
      </c>
      <c r="D49" t="inlineStr">
        <is>
          <t>VÄSTMANLANDS LÄN</t>
        </is>
      </c>
      <c r="E49" t="inlineStr">
        <is>
          <t>KUNGSÖR</t>
        </is>
      </c>
      <c r="F49" t="inlineStr">
        <is>
          <t>Allmännings- och besparingsskogar</t>
        </is>
      </c>
      <c r="G49" t="n">
        <v>6.8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54706-2020</t>
        </is>
      </c>
      <c r="B50" s="1" t="n">
        <v>44127</v>
      </c>
      <c r="C50" s="1" t="n">
        <v>45811</v>
      </c>
      <c r="D50" t="inlineStr">
        <is>
          <t>VÄSTMANLANDS LÄN</t>
        </is>
      </c>
      <c r="E50" t="inlineStr">
        <is>
          <t>KUNGSÖR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54705-2020</t>
        </is>
      </c>
      <c r="B51" s="1" t="n">
        <v>44127</v>
      </c>
      <c r="C51" s="1" t="n">
        <v>45811</v>
      </c>
      <c r="D51" t="inlineStr">
        <is>
          <t>VÄSTMANLANDS LÄN</t>
        </is>
      </c>
      <c r="E51" t="inlineStr">
        <is>
          <t>KUNGSÖR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58040-2020</t>
        </is>
      </c>
      <c r="B52" s="1" t="n">
        <v>44144</v>
      </c>
      <c r="C52" s="1" t="n">
        <v>45811</v>
      </c>
      <c r="D52" t="inlineStr">
        <is>
          <t>VÄSTMANLANDS LÄN</t>
        </is>
      </c>
      <c r="E52" t="inlineStr">
        <is>
          <t>KUNGSÖR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64251-2020</t>
        </is>
      </c>
      <c r="B53" s="1" t="n">
        <v>44168</v>
      </c>
      <c r="C53" s="1" t="n">
        <v>45811</v>
      </c>
      <c r="D53" t="inlineStr">
        <is>
          <t>VÄSTMANLANDS LÄN</t>
        </is>
      </c>
      <c r="E53" t="inlineStr">
        <is>
          <t>KUNGSÖR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66974-2020</t>
        </is>
      </c>
      <c r="B54" s="1" t="n">
        <v>44180</v>
      </c>
      <c r="C54" s="1" t="n">
        <v>45811</v>
      </c>
      <c r="D54" t="inlineStr">
        <is>
          <t>VÄSTMANLANDS LÄN</t>
        </is>
      </c>
      <c r="E54" t="inlineStr">
        <is>
          <t>KUNGSÖR</t>
        </is>
      </c>
      <c r="F54" t="inlineStr">
        <is>
          <t>Allmännings- och besparingsskogar</t>
        </is>
      </c>
      <c r="G54" t="n">
        <v>28.1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3223-2021</t>
        </is>
      </c>
      <c r="B55" s="1" t="n">
        <v>44217</v>
      </c>
      <c r="C55" s="1" t="n">
        <v>45811</v>
      </c>
      <c r="D55" t="inlineStr">
        <is>
          <t>VÄSTMANLANDS LÄN</t>
        </is>
      </c>
      <c r="E55" t="inlineStr">
        <is>
          <t>KUNGSÖR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15809-2021</t>
        </is>
      </c>
      <c r="B56" s="1" t="n">
        <v>44286</v>
      </c>
      <c r="C56" s="1" t="n">
        <v>45811</v>
      </c>
      <c r="D56" t="inlineStr">
        <is>
          <t>VÄSTMANLANDS LÄN</t>
        </is>
      </c>
      <c r="E56" t="inlineStr">
        <is>
          <t>KUNGSÖR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15832-2021</t>
        </is>
      </c>
      <c r="B57" s="1" t="n">
        <v>44286</v>
      </c>
      <c r="C57" s="1" t="n">
        <v>45811</v>
      </c>
      <c r="D57" t="inlineStr">
        <is>
          <t>VÄSTMANLANDS LÄN</t>
        </is>
      </c>
      <c r="E57" t="inlineStr">
        <is>
          <t>KUNGSÖR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26495-2021</t>
        </is>
      </c>
      <c r="B58" s="1" t="n">
        <v>44348</v>
      </c>
      <c r="C58" s="1" t="n">
        <v>45811</v>
      </c>
      <c r="D58" t="inlineStr">
        <is>
          <t>VÄSTMANLANDS LÄN</t>
        </is>
      </c>
      <c r="E58" t="inlineStr">
        <is>
          <t>KUNGSÖR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36539-2021</t>
        </is>
      </c>
      <c r="B59" s="1" t="n">
        <v>44391</v>
      </c>
      <c r="C59" s="1" t="n">
        <v>45811</v>
      </c>
      <c r="D59" t="inlineStr">
        <is>
          <t>VÄSTMANLANDS LÄN</t>
        </is>
      </c>
      <c r="E59" t="inlineStr">
        <is>
          <t>KUNGSÖR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36532-2021</t>
        </is>
      </c>
      <c r="B60" s="1" t="n">
        <v>44391</v>
      </c>
      <c r="C60" s="1" t="n">
        <v>45811</v>
      </c>
      <c r="D60" t="inlineStr">
        <is>
          <t>VÄSTMANLANDS LÄN</t>
        </is>
      </c>
      <c r="E60" t="inlineStr">
        <is>
          <t>KUNGSÖR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36639-2021</t>
        </is>
      </c>
      <c r="B61" s="1" t="n">
        <v>44392</v>
      </c>
      <c r="C61" s="1" t="n">
        <v>45811</v>
      </c>
      <c r="D61" t="inlineStr">
        <is>
          <t>VÄSTMANLANDS LÄN</t>
        </is>
      </c>
      <c r="E61" t="inlineStr">
        <is>
          <t>KUNGSÖR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45811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38938-2021</t>
        </is>
      </c>
      <c r="B63" s="1" t="n">
        <v>44411</v>
      </c>
      <c r="C63" s="1" t="n">
        <v>45811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44720-2021</t>
        </is>
      </c>
      <c r="B64" s="1" t="n">
        <v>44438</v>
      </c>
      <c r="C64" s="1" t="n">
        <v>45811</v>
      </c>
      <c r="D64" t="inlineStr">
        <is>
          <t>VÄSTMANLANDS LÄN</t>
        </is>
      </c>
      <c r="E64" t="inlineStr">
        <is>
          <t>KUNGSÖR</t>
        </is>
      </c>
      <c r="G64" t="n">
        <v>11.4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45159-2021</t>
        </is>
      </c>
      <c r="B65" s="1" t="n">
        <v>44439</v>
      </c>
      <c r="C65" s="1" t="n">
        <v>45811</v>
      </c>
      <c r="D65" t="inlineStr">
        <is>
          <t>VÄSTMANLANDS LÄN</t>
        </is>
      </c>
      <c r="E65" t="inlineStr">
        <is>
          <t>KUNGSÖR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50058-2021</t>
        </is>
      </c>
      <c r="B66" s="1" t="n">
        <v>44456</v>
      </c>
      <c r="C66" s="1" t="n">
        <v>45811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54188-2021</t>
        </is>
      </c>
      <c r="B67" s="1" t="n">
        <v>44470</v>
      </c>
      <c r="C67" s="1" t="n">
        <v>45811</v>
      </c>
      <c r="D67" t="inlineStr">
        <is>
          <t>VÄSTMANLANDS LÄN</t>
        </is>
      </c>
      <c r="E67" t="inlineStr">
        <is>
          <t>KUNGSÖR</t>
        </is>
      </c>
      <c r="G67" t="n">
        <v>6.5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55079-2021</t>
        </is>
      </c>
      <c r="B68" s="1" t="n">
        <v>44474</v>
      </c>
      <c r="C68" s="1" t="n">
        <v>45811</v>
      </c>
      <c r="D68" t="inlineStr">
        <is>
          <t>VÄSTMANLANDS LÄN</t>
        </is>
      </c>
      <c r="E68" t="inlineStr">
        <is>
          <t>KUNGSÖR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55072-2021</t>
        </is>
      </c>
      <c r="B69" s="1" t="n">
        <v>44474</v>
      </c>
      <c r="C69" s="1" t="n">
        <v>45811</v>
      </c>
      <c r="D69" t="inlineStr">
        <is>
          <t>VÄSTMANLANDS LÄN</t>
        </is>
      </c>
      <c r="E69" t="inlineStr">
        <is>
          <t>KUNGSÖR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59597-2021</t>
        </is>
      </c>
      <c r="B70" s="1" t="n">
        <v>44491</v>
      </c>
      <c r="C70" s="1" t="n">
        <v>45811</v>
      </c>
      <c r="D70" t="inlineStr">
        <is>
          <t>VÄSTMANLANDS LÄN</t>
        </is>
      </c>
      <c r="E70" t="inlineStr">
        <is>
          <t>KUNGSÖR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59603-2021</t>
        </is>
      </c>
      <c r="B71" s="1" t="n">
        <v>44491</v>
      </c>
      <c r="C71" s="1" t="n">
        <v>45811</v>
      </c>
      <c r="D71" t="inlineStr">
        <is>
          <t>VÄSTMANLANDS LÄN</t>
        </is>
      </c>
      <c r="E71" t="inlineStr">
        <is>
          <t>KUNGSÖR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59612-2021</t>
        </is>
      </c>
      <c r="B72" s="1" t="n">
        <v>44491</v>
      </c>
      <c r="C72" s="1" t="n">
        <v>45811</v>
      </c>
      <c r="D72" t="inlineStr">
        <is>
          <t>VÄSTMANLANDS LÄN</t>
        </is>
      </c>
      <c r="E72" t="inlineStr">
        <is>
          <t>KUNGSÖR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59609-2021</t>
        </is>
      </c>
      <c r="B73" s="1" t="n">
        <v>44491</v>
      </c>
      <c r="C73" s="1" t="n">
        <v>45811</v>
      </c>
      <c r="D73" t="inlineStr">
        <is>
          <t>VÄSTMANLANDS LÄN</t>
        </is>
      </c>
      <c r="E73" t="inlineStr">
        <is>
          <t>KUNGSÖR</t>
        </is>
      </c>
      <c r="G73" t="n">
        <v>12.7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59615-2021</t>
        </is>
      </c>
      <c r="B74" s="1" t="n">
        <v>44491</v>
      </c>
      <c r="C74" s="1" t="n">
        <v>45811</v>
      </c>
      <c r="D74" t="inlineStr">
        <is>
          <t>VÄSTMANLANDS LÄN</t>
        </is>
      </c>
      <c r="E74" t="inlineStr">
        <is>
          <t>KUNGSÖR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72700-2021</t>
        </is>
      </c>
      <c r="B75" s="1" t="n">
        <v>44545</v>
      </c>
      <c r="C75" s="1" t="n">
        <v>45811</v>
      </c>
      <c r="D75" t="inlineStr">
        <is>
          <t>VÄSTMANLANDS LÄN</t>
        </is>
      </c>
      <c r="E75" t="inlineStr">
        <is>
          <t>KUNGSÖR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1906-2022</t>
        </is>
      </c>
      <c r="B76" s="1" t="n">
        <v>44575</v>
      </c>
      <c r="C76" s="1" t="n">
        <v>45811</v>
      </c>
      <c r="D76" t="inlineStr">
        <is>
          <t>VÄSTMANLANDS LÄN</t>
        </is>
      </c>
      <c r="E76" t="inlineStr">
        <is>
          <t>KUNGSÖR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6319-2022</t>
        </is>
      </c>
      <c r="B77" s="1" t="n">
        <v>44600</v>
      </c>
      <c r="C77" s="1" t="n">
        <v>45811</v>
      </c>
      <c r="D77" t="inlineStr">
        <is>
          <t>VÄSTMANLANDS LÄN</t>
        </is>
      </c>
      <c r="E77" t="inlineStr">
        <is>
          <t>KUNGSÖR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6734-2022</t>
        </is>
      </c>
      <c r="B78" s="1" t="n">
        <v>44602</v>
      </c>
      <c r="C78" s="1" t="n">
        <v>45811</v>
      </c>
      <c r="D78" t="inlineStr">
        <is>
          <t>VÄSTMANLANDS LÄN</t>
        </is>
      </c>
      <c r="E78" t="inlineStr">
        <is>
          <t>KUNGSÖR</t>
        </is>
      </c>
      <c r="G78" t="n">
        <v>32.3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6757-2022</t>
        </is>
      </c>
      <c r="B79" s="1" t="n">
        <v>44602</v>
      </c>
      <c r="C79" s="1" t="n">
        <v>45811</v>
      </c>
      <c r="D79" t="inlineStr">
        <is>
          <t>VÄSTMANLANDS LÄN</t>
        </is>
      </c>
      <c r="E79" t="inlineStr">
        <is>
          <t>KUNGSÖR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7117-2022</t>
        </is>
      </c>
      <c r="B80" s="1" t="n">
        <v>44603</v>
      </c>
      <c r="C80" s="1" t="n">
        <v>45811</v>
      </c>
      <c r="D80" t="inlineStr">
        <is>
          <t>VÄSTMANLANDS LÄN</t>
        </is>
      </c>
      <c r="E80" t="inlineStr">
        <is>
          <t>KUNGSÖR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9813-2022</t>
        </is>
      </c>
      <c r="B81" s="1" t="n">
        <v>44620</v>
      </c>
      <c r="C81" s="1" t="n">
        <v>45811</v>
      </c>
      <c r="D81" t="inlineStr">
        <is>
          <t>VÄSTMANLANDS LÄN</t>
        </is>
      </c>
      <c r="E81" t="inlineStr">
        <is>
          <t>KUNGSÖR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10517-2022</t>
        </is>
      </c>
      <c r="B82" s="1" t="n">
        <v>44623</v>
      </c>
      <c r="C82" s="1" t="n">
        <v>45811</v>
      </c>
      <c r="D82" t="inlineStr">
        <is>
          <t>VÄSTMANLANDS LÄN</t>
        </is>
      </c>
      <c r="E82" t="inlineStr">
        <is>
          <t>KUNGSÖR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10516-2022</t>
        </is>
      </c>
      <c r="B83" s="1" t="n">
        <v>44623</v>
      </c>
      <c r="C83" s="1" t="n">
        <v>45811</v>
      </c>
      <c r="D83" t="inlineStr">
        <is>
          <t>VÄSTMANLANDS LÄN</t>
        </is>
      </c>
      <c r="E83" t="inlineStr">
        <is>
          <t>KUNGSÖR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16988-2022</t>
        </is>
      </c>
      <c r="B84" s="1" t="n">
        <v>44676</v>
      </c>
      <c r="C84" s="1" t="n">
        <v>45811</v>
      </c>
      <c r="D84" t="inlineStr">
        <is>
          <t>VÄSTMANLANDS LÄN</t>
        </is>
      </c>
      <c r="E84" t="inlineStr">
        <is>
          <t>KUNGSÖR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17093-2022</t>
        </is>
      </c>
      <c r="B85" s="1" t="n">
        <v>44677</v>
      </c>
      <c r="C85" s="1" t="n">
        <v>45811</v>
      </c>
      <c r="D85" t="inlineStr">
        <is>
          <t>VÄSTMANLANDS LÄN</t>
        </is>
      </c>
      <c r="E85" t="inlineStr">
        <is>
          <t>KUNGSÖR</t>
        </is>
      </c>
      <c r="F85" t="inlineStr">
        <is>
          <t>Kommuner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24175-2022</t>
        </is>
      </c>
      <c r="B86" s="1" t="n">
        <v>44725</v>
      </c>
      <c r="C86" s="1" t="n">
        <v>45811</v>
      </c>
      <c r="D86" t="inlineStr">
        <is>
          <t>VÄSTMANLANDS LÄN</t>
        </is>
      </c>
      <c r="E86" t="inlineStr">
        <is>
          <t>KUNGSÖR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26029-2022</t>
        </is>
      </c>
      <c r="B87" s="1" t="n">
        <v>44734</v>
      </c>
      <c r="C87" s="1" t="n">
        <v>45811</v>
      </c>
      <c r="D87" t="inlineStr">
        <is>
          <t>VÄSTMANLANDS LÄN</t>
        </is>
      </c>
      <c r="E87" t="inlineStr">
        <is>
          <t>KUNGSÖR</t>
        </is>
      </c>
      <c r="F87" t="inlineStr">
        <is>
          <t>Allmännings- och besparingsskogar</t>
        </is>
      </c>
      <c r="G87" t="n">
        <v>9.699999999999999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29059-2022</t>
        </is>
      </c>
      <c r="B88" s="1" t="n">
        <v>44750</v>
      </c>
      <c r="C88" s="1" t="n">
        <v>45811</v>
      </c>
      <c r="D88" t="inlineStr">
        <is>
          <t>VÄSTMANLANDS LÄN</t>
        </is>
      </c>
      <c r="E88" t="inlineStr">
        <is>
          <t>KUNGSÖR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29055-2022</t>
        </is>
      </c>
      <c r="B89" s="1" t="n">
        <v>44750</v>
      </c>
      <c r="C89" s="1" t="n">
        <v>45811</v>
      </c>
      <c r="D89" t="inlineStr">
        <is>
          <t>VÄSTMANLANDS LÄN</t>
        </is>
      </c>
      <c r="E89" t="inlineStr">
        <is>
          <t>KUNGSÖR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31883-2022</t>
        </is>
      </c>
      <c r="B90" s="1" t="n">
        <v>44777</v>
      </c>
      <c r="C90" s="1" t="n">
        <v>45811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36419-2022</t>
        </is>
      </c>
      <c r="B91" s="1" t="n">
        <v>44803</v>
      </c>
      <c r="C91" s="1" t="n">
        <v>45811</v>
      </c>
      <c r="D91" t="inlineStr">
        <is>
          <t>VÄSTMANLANDS LÄN</t>
        </is>
      </c>
      <c r="E91" t="inlineStr">
        <is>
          <t>KUNGSÖR</t>
        </is>
      </c>
      <c r="G91" t="n">
        <v>16.2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40815-2022</t>
        </is>
      </c>
      <c r="B92" s="1" t="n">
        <v>44824</v>
      </c>
      <c r="C92" s="1" t="n">
        <v>45811</v>
      </c>
      <c r="D92" t="inlineStr">
        <is>
          <t>VÄSTMANLANDS LÄN</t>
        </is>
      </c>
      <c r="E92" t="inlineStr">
        <is>
          <t>KUNGSÖR</t>
        </is>
      </c>
      <c r="G92" t="n">
        <v>15.9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50399-2022</t>
        </is>
      </c>
      <c r="B93" s="1" t="n">
        <v>44866</v>
      </c>
      <c r="C93" s="1" t="n">
        <v>45811</v>
      </c>
      <c r="D93" t="inlineStr">
        <is>
          <t>VÄSTMANLANDS LÄN</t>
        </is>
      </c>
      <c r="E93" t="inlineStr">
        <is>
          <t>KUNGSÖR</t>
        </is>
      </c>
      <c r="G93" t="n">
        <v>6.2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50394-2022</t>
        </is>
      </c>
      <c r="B94" s="1" t="n">
        <v>44866</v>
      </c>
      <c r="C94" s="1" t="n">
        <v>45811</v>
      </c>
      <c r="D94" t="inlineStr">
        <is>
          <t>VÄSTMANLANDS LÄN</t>
        </is>
      </c>
      <c r="E94" t="inlineStr">
        <is>
          <t>KUNGSÖR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52809-2022</t>
        </is>
      </c>
      <c r="B95" s="1" t="n">
        <v>44875</v>
      </c>
      <c r="C95" s="1" t="n">
        <v>45811</v>
      </c>
      <c r="D95" t="inlineStr">
        <is>
          <t>VÄSTMANLANDS LÄN</t>
        </is>
      </c>
      <c r="E95" t="inlineStr">
        <is>
          <t>KUNGSÖR</t>
        </is>
      </c>
      <c r="F95" t="inlineStr">
        <is>
          <t>Allmännings- och besparingsskogar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52802-2022</t>
        </is>
      </c>
      <c r="B96" s="1" t="n">
        <v>44875</v>
      </c>
      <c r="C96" s="1" t="n">
        <v>45811</v>
      </c>
      <c r="D96" t="inlineStr">
        <is>
          <t>VÄSTMANLANDS LÄN</t>
        </is>
      </c>
      <c r="E96" t="inlineStr">
        <is>
          <t>KUNGSÖR</t>
        </is>
      </c>
      <c r="F96" t="inlineStr">
        <is>
          <t>Allmännings- och besparingsskogar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54968-2022</t>
        </is>
      </c>
      <c r="B97" s="1" t="n">
        <v>44886</v>
      </c>
      <c r="C97" s="1" t="n">
        <v>45811</v>
      </c>
      <c r="D97" t="inlineStr">
        <is>
          <t>VÄSTMANLANDS LÄN</t>
        </is>
      </c>
      <c r="E97" t="inlineStr">
        <is>
          <t>KUNGSÖR</t>
        </is>
      </c>
      <c r="G97" t="n">
        <v>5.7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55003-2022</t>
        </is>
      </c>
      <c r="B98" s="1" t="n">
        <v>44886</v>
      </c>
      <c r="C98" s="1" t="n">
        <v>45811</v>
      </c>
      <c r="D98" t="inlineStr">
        <is>
          <t>VÄSTMANLANDS LÄN</t>
        </is>
      </c>
      <c r="E98" t="inlineStr">
        <is>
          <t>KUNGSÖR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58622-2022</t>
        </is>
      </c>
      <c r="B99" s="1" t="n">
        <v>44902</v>
      </c>
      <c r="C99" s="1" t="n">
        <v>45811</v>
      </c>
      <c r="D99" t="inlineStr">
        <is>
          <t>VÄSTMANLANDS LÄN</t>
        </is>
      </c>
      <c r="E99" t="inlineStr">
        <is>
          <t>KUNGSÖR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58657-2022</t>
        </is>
      </c>
      <c r="B100" s="1" t="n">
        <v>44902</v>
      </c>
      <c r="C100" s="1" t="n">
        <v>45811</v>
      </c>
      <c r="D100" t="inlineStr">
        <is>
          <t>VÄSTMANLANDS LÄN</t>
        </is>
      </c>
      <c r="E100" t="inlineStr">
        <is>
          <t>KUNGSÖR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58642-2022</t>
        </is>
      </c>
      <c r="B101" s="1" t="n">
        <v>44902</v>
      </c>
      <c r="C101" s="1" t="n">
        <v>45811</v>
      </c>
      <c r="D101" t="inlineStr">
        <is>
          <t>VÄSTMANLANDS LÄN</t>
        </is>
      </c>
      <c r="E101" t="inlineStr">
        <is>
          <t>KUNGSÖR</t>
        </is>
      </c>
      <c r="G101" t="n">
        <v>5.1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59853-2022</t>
        </is>
      </c>
      <c r="B102" s="1" t="n">
        <v>44908</v>
      </c>
      <c r="C102" s="1" t="n">
        <v>45811</v>
      </c>
      <c r="D102" t="inlineStr">
        <is>
          <t>VÄSTMANLANDS LÄN</t>
        </is>
      </c>
      <c r="E102" t="inlineStr">
        <is>
          <t>KUNGSÖR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3683-2023</t>
        </is>
      </c>
      <c r="B103" s="1" t="n">
        <v>44950</v>
      </c>
      <c r="C103" s="1" t="n">
        <v>45811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7616-2023</t>
        </is>
      </c>
      <c r="B104" s="1" t="n">
        <v>44972</v>
      </c>
      <c r="C104" s="1" t="n">
        <v>45811</v>
      </c>
      <c r="D104" t="inlineStr">
        <is>
          <t>VÄSTMANLANDS LÄN</t>
        </is>
      </c>
      <c r="E104" t="inlineStr">
        <is>
          <t>KUNGSÖR</t>
        </is>
      </c>
      <c r="G104" t="n">
        <v>13.3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8193-2023</t>
        </is>
      </c>
      <c r="B105" s="1" t="n">
        <v>44974</v>
      </c>
      <c r="C105" s="1" t="n">
        <v>45811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10.5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8331-2023</t>
        </is>
      </c>
      <c r="B106" s="1" t="n">
        <v>44974</v>
      </c>
      <c r="C106" s="1" t="n">
        <v>45811</v>
      </c>
      <c r="D106" t="inlineStr">
        <is>
          <t>VÄSTMANLANDS LÄN</t>
        </is>
      </c>
      <c r="E106" t="inlineStr">
        <is>
          <t>KUNGSÖR</t>
        </is>
      </c>
      <c r="F106" t="inlineStr">
        <is>
          <t>Allmännings- och besparingsskogar</t>
        </is>
      </c>
      <c r="G106" t="n">
        <v>20.7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8228-2023</t>
        </is>
      </c>
      <c r="B107" s="1" t="n">
        <v>44974</v>
      </c>
      <c r="C107" s="1" t="n">
        <v>45811</v>
      </c>
      <c r="D107" t="inlineStr">
        <is>
          <t>VÄSTMANLANDS LÄN</t>
        </is>
      </c>
      <c r="E107" t="inlineStr">
        <is>
          <t>KUNGSÖR</t>
        </is>
      </c>
      <c r="G107" t="n">
        <v>13.9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8275-2023</t>
        </is>
      </c>
      <c r="B108" s="1" t="n">
        <v>44974</v>
      </c>
      <c r="C108" s="1" t="n">
        <v>45811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7.2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16351-2023</t>
        </is>
      </c>
      <c r="B109" s="1" t="n">
        <v>45028</v>
      </c>
      <c r="C109" s="1" t="n">
        <v>45811</v>
      </c>
      <c r="D109" t="inlineStr">
        <is>
          <t>VÄSTMANLANDS LÄN</t>
        </is>
      </c>
      <c r="E109" t="inlineStr">
        <is>
          <t>KUNGSÖR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16735-2023</t>
        </is>
      </c>
      <c r="B110" s="1" t="n">
        <v>45030</v>
      </c>
      <c r="C110" s="1" t="n">
        <v>45811</v>
      </c>
      <c r="D110" t="inlineStr">
        <is>
          <t>VÄSTMANLANDS LÄN</t>
        </is>
      </c>
      <c r="E110" t="inlineStr">
        <is>
          <t>KUNGSÖR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18721-2023</t>
        </is>
      </c>
      <c r="B111" s="1" t="n">
        <v>45043</v>
      </c>
      <c r="C111" s="1" t="n">
        <v>45811</v>
      </c>
      <c r="D111" t="inlineStr">
        <is>
          <t>VÄSTMANLANDS LÄN</t>
        </is>
      </c>
      <c r="E111" t="inlineStr">
        <is>
          <t>KUNGSÖR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19082-2023</t>
        </is>
      </c>
      <c r="B112" s="1" t="n">
        <v>45048</v>
      </c>
      <c r="C112" s="1" t="n">
        <v>45811</v>
      </c>
      <c r="D112" t="inlineStr">
        <is>
          <t>VÄSTMANLANDS LÄN</t>
        </is>
      </c>
      <c r="E112" t="inlineStr">
        <is>
          <t>KUNGSÖR</t>
        </is>
      </c>
      <c r="F112" t="inlineStr">
        <is>
          <t>Allmännings- och besparingsskogar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20197-2023</t>
        </is>
      </c>
      <c r="B113" s="1" t="n">
        <v>45055</v>
      </c>
      <c r="C113" s="1" t="n">
        <v>45811</v>
      </c>
      <c r="D113" t="inlineStr">
        <is>
          <t>VÄSTMANLANDS LÄN</t>
        </is>
      </c>
      <c r="E113" t="inlineStr">
        <is>
          <t>KUNGSÖR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23574-2023</t>
        </is>
      </c>
      <c r="B114" s="1" t="n">
        <v>45077</v>
      </c>
      <c r="C114" s="1" t="n">
        <v>45811</v>
      </c>
      <c r="D114" t="inlineStr">
        <is>
          <t>VÄSTMANLANDS LÄN</t>
        </is>
      </c>
      <c r="E114" t="inlineStr">
        <is>
          <t>KUNGSÖR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23927-2023</t>
        </is>
      </c>
      <c r="B115" s="1" t="n">
        <v>45078</v>
      </c>
      <c r="C115" s="1" t="n">
        <v>45811</v>
      </c>
      <c r="D115" t="inlineStr">
        <is>
          <t>VÄSTMANLANDS LÄN</t>
        </is>
      </c>
      <c r="E115" t="inlineStr">
        <is>
          <t>KUNGSÖR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23932-2023</t>
        </is>
      </c>
      <c r="B116" s="1" t="n">
        <v>45078</v>
      </c>
      <c r="C116" s="1" t="n">
        <v>45811</v>
      </c>
      <c r="D116" t="inlineStr">
        <is>
          <t>VÄSTMANLANDS LÄN</t>
        </is>
      </c>
      <c r="E116" t="inlineStr">
        <is>
          <t>KUNGSÖR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26382-2023</t>
        </is>
      </c>
      <c r="B117" s="1" t="n">
        <v>45092</v>
      </c>
      <c r="C117" s="1" t="n">
        <v>45811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20.3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30462-2023</t>
        </is>
      </c>
      <c r="B118" s="1" t="n">
        <v>45111</v>
      </c>
      <c r="C118" s="1" t="n">
        <v>45811</v>
      </c>
      <c r="D118" t="inlineStr">
        <is>
          <t>VÄSTMANLANDS LÄN</t>
        </is>
      </c>
      <c r="E118" t="inlineStr">
        <is>
          <t>KUNGSÖR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30623-2023</t>
        </is>
      </c>
      <c r="B119" s="1" t="n">
        <v>45112</v>
      </c>
      <c r="C119" s="1" t="n">
        <v>45811</v>
      </c>
      <c r="D119" t="inlineStr">
        <is>
          <t>VÄSTMANLANDS LÄN</t>
        </is>
      </c>
      <c r="E119" t="inlineStr">
        <is>
          <t>KUNGSÖR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30634-2023</t>
        </is>
      </c>
      <c r="B120" s="1" t="n">
        <v>45112</v>
      </c>
      <c r="C120" s="1" t="n">
        <v>45811</v>
      </c>
      <c r="D120" t="inlineStr">
        <is>
          <t>VÄSTMANLANDS LÄN</t>
        </is>
      </c>
      <c r="E120" t="inlineStr">
        <is>
          <t>KUNGSÖR</t>
        </is>
      </c>
      <c r="G120" t="n">
        <v>6.2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30621-2023</t>
        </is>
      </c>
      <c r="B121" s="1" t="n">
        <v>45112</v>
      </c>
      <c r="C121" s="1" t="n">
        <v>45811</v>
      </c>
      <c r="D121" t="inlineStr">
        <is>
          <t>VÄSTMANLANDS LÄN</t>
        </is>
      </c>
      <c r="E121" t="inlineStr">
        <is>
          <t>KUNGSÖR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31239-2023</t>
        </is>
      </c>
      <c r="B122" s="1" t="n">
        <v>45114</v>
      </c>
      <c r="C122" s="1" t="n">
        <v>45811</v>
      </c>
      <c r="D122" t="inlineStr">
        <is>
          <t>VÄSTMANLANDS LÄN</t>
        </is>
      </c>
      <c r="E122" t="inlineStr">
        <is>
          <t>KUNGSÖR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31245-2023</t>
        </is>
      </c>
      <c r="B123" s="1" t="n">
        <v>45114</v>
      </c>
      <c r="C123" s="1" t="n">
        <v>45811</v>
      </c>
      <c r="D123" t="inlineStr">
        <is>
          <t>VÄSTMANLANDS LÄN</t>
        </is>
      </c>
      <c r="E123" t="inlineStr">
        <is>
          <t>KUNGSÖR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38308-2023</t>
        </is>
      </c>
      <c r="B124" s="1" t="n">
        <v>45161</v>
      </c>
      <c r="C124" s="1" t="n">
        <v>45811</v>
      </c>
      <c r="D124" t="inlineStr">
        <is>
          <t>VÄSTMANLANDS LÄN</t>
        </is>
      </c>
      <c r="E124" t="inlineStr">
        <is>
          <t>KUNGSÖR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39269-2023</t>
        </is>
      </c>
      <c r="B125" s="1" t="n">
        <v>45166</v>
      </c>
      <c r="C125" s="1" t="n">
        <v>45811</v>
      </c>
      <c r="D125" t="inlineStr">
        <is>
          <t>VÄSTMANLANDS LÄN</t>
        </is>
      </c>
      <c r="E125" t="inlineStr">
        <is>
          <t>KUNGSÖR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39717-2023</t>
        </is>
      </c>
      <c r="B126" s="1" t="n">
        <v>45167</v>
      </c>
      <c r="C126" s="1" t="n">
        <v>45811</v>
      </c>
      <c r="D126" t="inlineStr">
        <is>
          <t>VÄSTMANLANDS LÄN</t>
        </is>
      </c>
      <c r="E126" t="inlineStr">
        <is>
          <t>KUNGSÖR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39682-2023</t>
        </is>
      </c>
      <c r="B127" s="1" t="n">
        <v>45167</v>
      </c>
      <c r="C127" s="1" t="n">
        <v>45811</v>
      </c>
      <c r="D127" t="inlineStr">
        <is>
          <t>VÄSTMANLANDS LÄN</t>
        </is>
      </c>
      <c r="E127" t="inlineStr">
        <is>
          <t>KUNGSÖR</t>
        </is>
      </c>
      <c r="G127" t="n">
        <v>9.800000000000001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39720-2023</t>
        </is>
      </c>
      <c r="B128" s="1" t="n">
        <v>45167</v>
      </c>
      <c r="C128" s="1" t="n">
        <v>45811</v>
      </c>
      <c r="D128" t="inlineStr">
        <is>
          <t>VÄSTMANLANDS LÄN</t>
        </is>
      </c>
      <c r="E128" t="inlineStr">
        <is>
          <t>KUNGSÖR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41443-2023</t>
        </is>
      </c>
      <c r="B129" s="1" t="n">
        <v>45175</v>
      </c>
      <c r="C129" s="1" t="n">
        <v>45811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4.1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41446-2023</t>
        </is>
      </c>
      <c r="B130" s="1" t="n">
        <v>45175</v>
      </c>
      <c r="C130" s="1" t="n">
        <v>45811</v>
      </c>
      <c r="D130" t="inlineStr">
        <is>
          <t>VÄSTMANLANDS LÄN</t>
        </is>
      </c>
      <c r="E130" t="inlineStr">
        <is>
          <t>KUNGSÖR</t>
        </is>
      </c>
      <c r="F130" t="inlineStr">
        <is>
          <t>Allmännings- och besparingsskogar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52795-2023</t>
        </is>
      </c>
      <c r="B131" s="1" t="n">
        <v>45226</v>
      </c>
      <c r="C131" s="1" t="n">
        <v>45811</v>
      </c>
      <c r="D131" t="inlineStr">
        <is>
          <t>VÄSTMANLANDS LÄN</t>
        </is>
      </c>
      <c r="E131" t="inlineStr">
        <is>
          <t>KUNGSÖR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5952-2024</t>
        </is>
      </c>
      <c r="B132" s="1" t="n">
        <v>45335</v>
      </c>
      <c r="C132" s="1" t="n">
        <v>45811</v>
      </c>
      <c r="D132" t="inlineStr">
        <is>
          <t>VÄSTMANLANDS LÄN</t>
        </is>
      </c>
      <c r="E132" t="inlineStr">
        <is>
          <t>KUNGSÖR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10098-2024</t>
        </is>
      </c>
      <c r="B133" s="1" t="n">
        <v>45364</v>
      </c>
      <c r="C133" s="1" t="n">
        <v>45811</v>
      </c>
      <c r="D133" t="inlineStr">
        <is>
          <t>VÄSTMANLANDS LÄN</t>
        </is>
      </c>
      <c r="E133" t="inlineStr">
        <is>
          <t>KUNGSÖR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10128-2024</t>
        </is>
      </c>
      <c r="B134" s="1" t="n">
        <v>45364</v>
      </c>
      <c r="C134" s="1" t="n">
        <v>45811</v>
      </c>
      <c r="D134" t="inlineStr">
        <is>
          <t>VÄSTMANLANDS LÄN</t>
        </is>
      </c>
      <c r="E134" t="inlineStr">
        <is>
          <t>KUNGSÖR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10112-2024</t>
        </is>
      </c>
      <c r="B135" s="1" t="n">
        <v>45364</v>
      </c>
      <c r="C135" s="1" t="n">
        <v>45811</v>
      </c>
      <c r="D135" t="inlineStr">
        <is>
          <t>VÄSTMANLANDS LÄN</t>
        </is>
      </c>
      <c r="E135" t="inlineStr">
        <is>
          <t>KUNGSÖR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10120-2024</t>
        </is>
      </c>
      <c r="B136" s="1" t="n">
        <v>45364</v>
      </c>
      <c r="C136" s="1" t="n">
        <v>45811</v>
      </c>
      <c r="D136" t="inlineStr">
        <is>
          <t>VÄSTMANLANDS LÄN</t>
        </is>
      </c>
      <c r="E136" t="inlineStr">
        <is>
          <t>KUNGSÖR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10916-2024</t>
        </is>
      </c>
      <c r="B137" s="1" t="n">
        <v>45370</v>
      </c>
      <c r="C137" s="1" t="n">
        <v>45811</v>
      </c>
      <c r="D137" t="inlineStr">
        <is>
          <t>VÄSTMANLANDS LÄN</t>
        </is>
      </c>
      <c r="E137" t="inlineStr">
        <is>
          <t>KUNGSÖR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14779-2024</t>
        </is>
      </c>
      <c r="B138" s="1" t="n">
        <v>45397</v>
      </c>
      <c r="C138" s="1" t="n">
        <v>45811</v>
      </c>
      <c r="D138" t="inlineStr">
        <is>
          <t>VÄSTMANLANDS LÄN</t>
        </is>
      </c>
      <c r="E138" t="inlineStr">
        <is>
          <t>KUNGSÖR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14784-2024</t>
        </is>
      </c>
      <c r="B139" s="1" t="n">
        <v>45397</v>
      </c>
      <c r="C139" s="1" t="n">
        <v>45811</v>
      </c>
      <c r="D139" t="inlineStr">
        <is>
          <t>VÄSTMANLANDS LÄN</t>
        </is>
      </c>
      <c r="E139" t="inlineStr">
        <is>
          <t>KUNGSÖR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19266-2024</t>
        </is>
      </c>
      <c r="B140" s="1" t="n">
        <v>45428</v>
      </c>
      <c r="C140" s="1" t="n">
        <v>45811</v>
      </c>
      <c r="D140" t="inlineStr">
        <is>
          <t>VÄSTMANLANDS LÄN</t>
        </is>
      </c>
      <c r="E140" t="inlineStr">
        <is>
          <t>KUNGSÖR</t>
        </is>
      </c>
      <c r="G140" t="n">
        <v>3.8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19420-2024</t>
        </is>
      </c>
      <c r="B141" s="1" t="n">
        <v>45429</v>
      </c>
      <c r="C141" s="1" t="n">
        <v>45811</v>
      </c>
      <c r="D141" t="inlineStr">
        <is>
          <t>VÄSTMANLANDS LÄN</t>
        </is>
      </c>
      <c r="E141" t="inlineStr">
        <is>
          <t>KUNGSÖR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19428-2024</t>
        </is>
      </c>
      <c r="B142" s="1" t="n">
        <v>45429</v>
      </c>
      <c r="C142" s="1" t="n">
        <v>45811</v>
      </c>
      <c r="D142" t="inlineStr">
        <is>
          <t>VÄSTMANLANDS LÄN</t>
        </is>
      </c>
      <c r="E142" t="inlineStr">
        <is>
          <t>KUNGSÖR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24774-2024</t>
        </is>
      </c>
      <c r="B143" s="1" t="n">
        <v>45460</v>
      </c>
      <c r="C143" s="1" t="n">
        <v>45811</v>
      </c>
      <c r="D143" t="inlineStr">
        <is>
          <t>VÄSTMANLANDS LÄN</t>
        </is>
      </c>
      <c r="E143" t="inlineStr">
        <is>
          <t>KUNGSÖR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26868-2024</t>
        </is>
      </c>
      <c r="B144" s="1" t="n">
        <v>45470</v>
      </c>
      <c r="C144" s="1" t="n">
        <v>45811</v>
      </c>
      <c r="D144" t="inlineStr">
        <is>
          <t>VÄSTMANLANDS LÄN</t>
        </is>
      </c>
      <c r="E144" t="inlineStr">
        <is>
          <t>KUNGSÖR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29568-2024</t>
        </is>
      </c>
      <c r="B145" s="1" t="n">
        <v>45484</v>
      </c>
      <c r="C145" s="1" t="n">
        <v>45811</v>
      </c>
      <c r="D145" t="inlineStr">
        <is>
          <t>VÄSTMANLANDS LÄN</t>
        </is>
      </c>
      <c r="E145" t="inlineStr">
        <is>
          <t>KUNGSÖR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35716-2024</t>
        </is>
      </c>
      <c r="B146" s="1" t="n">
        <v>45532</v>
      </c>
      <c r="C146" s="1" t="n">
        <v>45811</v>
      </c>
      <c r="D146" t="inlineStr">
        <is>
          <t>VÄSTMANLANDS LÄN</t>
        </is>
      </c>
      <c r="E146" t="inlineStr">
        <is>
          <t>KUNGSÖR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40606-2024</t>
        </is>
      </c>
      <c r="B147" s="1" t="n">
        <v>45556</v>
      </c>
      <c r="C147" s="1" t="n">
        <v>45811</v>
      </c>
      <c r="D147" t="inlineStr">
        <is>
          <t>VÄSTMANLANDS LÄN</t>
        </is>
      </c>
      <c r="E147" t="inlineStr">
        <is>
          <t>KUNGSÖR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40607-2024</t>
        </is>
      </c>
      <c r="B148" s="1" t="n">
        <v>45556</v>
      </c>
      <c r="C148" s="1" t="n">
        <v>45811</v>
      </c>
      <c r="D148" t="inlineStr">
        <is>
          <t>VÄSTMANLANDS LÄN</t>
        </is>
      </c>
      <c r="E148" t="inlineStr">
        <is>
          <t>KUNGSÖR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42498-2024</t>
        </is>
      </c>
      <c r="B149" s="1" t="n">
        <v>45565</v>
      </c>
      <c r="C149" s="1" t="n">
        <v>45811</v>
      </c>
      <c r="D149" t="inlineStr">
        <is>
          <t>VÄSTMANLANDS LÄN</t>
        </is>
      </c>
      <c r="E149" t="inlineStr">
        <is>
          <t>KUNGSÖR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47123-2024</t>
        </is>
      </c>
      <c r="B150" s="1" t="n">
        <v>45586</v>
      </c>
      <c r="C150" s="1" t="n">
        <v>45811</v>
      </c>
      <c r="D150" t="inlineStr">
        <is>
          <t>VÄSTMANLANDS LÄN</t>
        </is>
      </c>
      <c r="E150" t="inlineStr">
        <is>
          <t>KUNGSÖR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47546-2024</t>
        </is>
      </c>
      <c r="B151" s="1" t="n">
        <v>45587</v>
      </c>
      <c r="C151" s="1" t="n">
        <v>45811</v>
      </c>
      <c r="D151" t="inlineStr">
        <is>
          <t>VÄSTMANLANDS LÄN</t>
        </is>
      </c>
      <c r="E151" t="inlineStr">
        <is>
          <t>KUNGSÖR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51096-2024</t>
        </is>
      </c>
      <c r="B152" s="1" t="n">
        <v>45603</v>
      </c>
      <c r="C152" s="1" t="n">
        <v>45811</v>
      </c>
      <c r="D152" t="inlineStr">
        <is>
          <t>VÄSTMANLANDS LÄN</t>
        </is>
      </c>
      <c r="E152" t="inlineStr">
        <is>
          <t>KUNGSÖR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52789-2024</t>
        </is>
      </c>
      <c r="B153" s="1" t="n">
        <v>45610</v>
      </c>
      <c r="C153" s="1" t="n">
        <v>45811</v>
      </c>
      <c r="D153" t="inlineStr">
        <is>
          <t>VÄSTMANLANDS LÄN</t>
        </is>
      </c>
      <c r="E153" t="inlineStr">
        <is>
          <t>KUNGSÖR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52842-2024</t>
        </is>
      </c>
      <c r="B154" s="1" t="n">
        <v>45610</v>
      </c>
      <c r="C154" s="1" t="n">
        <v>45811</v>
      </c>
      <c r="D154" t="inlineStr">
        <is>
          <t>VÄSTMANLANDS LÄN</t>
        </is>
      </c>
      <c r="E154" t="inlineStr">
        <is>
          <t>KUNGSÖR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59805-2024</t>
        </is>
      </c>
      <c r="B155" s="1" t="n">
        <v>45639</v>
      </c>
      <c r="C155" s="1" t="n">
        <v>45811</v>
      </c>
      <c r="D155" t="inlineStr">
        <is>
          <t>VÄSTMANLANDS LÄN</t>
        </is>
      </c>
      <c r="E155" t="inlineStr">
        <is>
          <t>KUNGSÖR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60764-2024</t>
        </is>
      </c>
      <c r="B156" s="1" t="n">
        <v>45644</v>
      </c>
      <c r="C156" s="1" t="n">
        <v>45811</v>
      </c>
      <c r="D156" t="inlineStr">
        <is>
          <t>VÄSTMANLANDS LÄN</t>
        </is>
      </c>
      <c r="E156" t="inlineStr">
        <is>
          <t>KUNGSÖR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60736-2024</t>
        </is>
      </c>
      <c r="B157" s="1" t="n">
        <v>45644</v>
      </c>
      <c r="C157" s="1" t="n">
        <v>45811</v>
      </c>
      <c r="D157" t="inlineStr">
        <is>
          <t>VÄSTMANLANDS LÄN</t>
        </is>
      </c>
      <c r="E157" t="inlineStr">
        <is>
          <t>KUNGSÖR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60754-2024</t>
        </is>
      </c>
      <c r="B158" s="1" t="n">
        <v>45644</v>
      </c>
      <c r="C158" s="1" t="n">
        <v>45811</v>
      </c>
      <c r="D158" t="inlineStr">
        <is>
          <t>VÄSTMANLANDS LÄN</t>
        </is>
      </c>
      <c r="E158" t="inlineStr">
        <is>
          <t>KUNGSÖR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61223-2024</t>
        </is>
      </c>
      <c r="B159" s="1" t="n">
        <v>45645</v>
      </c>
      <c r="C159" s="1" t="n">
        <v>45811</v>
      </c>
      <c r="D159" t="inlineStr">
        <is>
          <t>VÄSTMANLANDS LÄN</t>
        </is>
      </c>
      <c r="E159" t="inlineStr">
        <is>
          <t>KUNGSÖR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61262-2024</t>
        </is>
      </c>
      <c r="B160" s="1" t="n">
        <v>45645</v>
      </c>
      <c r="C160" s="1" t="n">
        <v>45811</v>
      </c>
      <c r="D160" t="inlineStr">
        <is>
          <t>VÄSTMANLANDS LÄN</t>
        </is>
      </c>
      <c r="E160" t="inlineStr">
        <is>
          <t>KUNGSÖR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61264-2024</t>
        </is>
      </c>
      <c r="B161" s="1" t="n">
        <v>45645</v>
      </c>
      <c r="C161" s="1" t="n">
        <v>45811</v>
      </c>
      <c r="D161" t="inlineStr">
        <is>
          <t>VÄSTMANLANDS LÄN</t>
        </is>
      </c>
      <c r="E161" t="inlineStr">
        <is>
          <t>KUNGSÖR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1042-2025</t>
        </is>
      </c>
      <c r="B162" s="1" t="n">
        <v>45666</v>
      </c>
      <c r="C162" s="1" t="n">
        <v>45811</v>
      </c>
      <c r="D162" t="inlineStr">
        <is>
          <t>VÄSTMANLANDS LÄN</t>
        </is>
      </c>
      <c r="E162" t="inlineStr">
        <is>
          <t>KUNGSÖR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1040-2025</t>
        </is>
      </c>
      <c r="B163" s="1" t="n">
        <v>45666</v>
      </c>
      <c r="C163" s="1" t="n">
        <v>45811</v>
      </c>
      <c r="D163" t="inlineStr">
        <is>
          <t>VÄSTMANLANDS LÄN</t>
        </is>
      </c>
      <c r="E163" t="inlineStr">
        <is>
          <t>KUNGSÖR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8469-2025</t>
        </is>
      </c>
      <c r="B164" s="1" t="n">
        <v>45709</v>
      </c>
      <c r="C164" s="1" t="n">
        <v>45811</v>
      </c>
      <c r="D164" t="inlineStr">
        <is>
          <t>VÄSTMANLANDS LÄN</t>
        </is>
      </c>
      <c r="E164" t="inlineStr">
        <is>
          <t>KUNGSÖR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8467-2025</t>
        </is>
      </c>
      <c r="B165" s="1" t="n">
        <v>45709</v>
      </c>
      <c r="C165" s="1" t="n">
        <v>45811</v>
      </c>
      <c r="D165" t="inlineStr">
        <is>
          <t>VÄSTMANLANDS LÄN</t>
        </is>
      </c>
      <c r="E165" t="inlineStr">
        <is>
          <t>KUNGSÖR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8477-2025</t>
        </is>
      </c>
      <c r="B166" s="1" t="n">
        <v>45709</v>
      </c>
      <c r="C166" s="1" t="n">
        <v>45811</v>
      </c>
      <c r="D166" t="inlineStr">
        <is>
          <t>VÄSTMANLANDS LÄN</t>
        </is>
      </c>
      <c r="E166" t="inlineStr">
        <is>
          <t>KUNGSÖR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11771-2025</t>
        </is>
      </c>
      <c r="B167" s="1" t="n">
        <v>45727</v>
      </c>
      <c r="C167" s="1" t="n">
        <v>45811</v>
      </c>
      <c r="D167" t="inlineStr">
        <is>
          <t>VÄSTMANLANDS LÄN</t>
        </is>
      </c>
      <c r="E167" t="inlineStr">
        <is>
          <t>KUNGSÖR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16056-2025</t>
        </is>
      </c>
      <c r="B168" s="1" t="n">
        <v>45749</v>
      </c>
      <c r="C168" s="1" t="n">
        <v>45811</v>
      </c>
      <c r="D168" t="inlineStr">
        <is>
          <t>VÄSTMANLANDS LÄN</t>
        </is>
      </c>
      <c r="E168" t="inlineStr">
        <is>
          <t>KUNGSÖR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19917-2025</t>
        </is>
      </c>
      <c r="B169" s="1" t="n">
        <v>45771</v>
      </c>
      <c r="C169" s="1" t="n">
        <v>45811</v>
      </c>
      <c r="D169" t="inlineStr">
        <is>
          <t>VÄSTMANLANDS LÄN</t>
        </is>
      </c>
      <c r="E169" t="inlineStr">
        <is>
          <t>KUNGSÖR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24023-2025</t>
        </is>
      </c>
      <c r="B170" s="1" t="n">
        <v>45796</v>
      </c>
      <c r="C170" s="1" t="n">
        <v>45811</v>
      </c>
      <c r="D170" t="inlineStr">
        <is>
          <t>VÄSTMANLANDS LÄN</t>
        </is>
      </c>
      <c r="E170" t="inlineStr">
        <is>
          <t>KUNGSÖR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2025-06-03T18:06:32Z</dcterms:created>
  <dcterms:modified xmlns:dcterms="http://purl.org/dc/terms/" xmlns:xsi="http://www.w3.org/2001/XMLSchema-instance" xsi:type="dcterms:W3CDTF">2025-06-03T18:06:32Z</dcterms:modified>
</cp:coreProperties>
</file>