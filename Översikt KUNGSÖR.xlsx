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37056-2026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46273</v>
      </c>
      <c r="E3" s="1" t="n">
        <v>46302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0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37056-2026 artfynd.xlsx", "A 37056-2026")</f>
        <v/>
      </c>
      <c r="X3">
        <f>HYPERLINK("https://klasma.github.io/Logging_1960/kartor/A 37056-2026 karta.png", "A 37056-2026")</f>
        <v/>
      </c>
      <c r="Y3">
        <f>HYPERLINK("https://klasma.github.io/Logging_1960/kartor_geotiff/A 37056-2026 georefererad karta.tif", "A 37056-2026")</f>
        <v/>
      </c>
      <c r="Z3">
        <f>HYPERLINK("https://klasma.github.io/Logging_1960/knärot/A 37056-2026 karta knärot.png", "A 37056-2026")</f>
        <v/>
      </c>
      <c r="AA3">
        <f>HYPERLINK("https://klasma.github.io/Logging_1960/klagomål/A 37056-2026 FSC-klagomål.docx", "A 37056-2026")</f>
        <v/>
      </c>
      <c r="AB3">
        <f>HYPERLINK("https://klasma.github.io/Logging_1960/klagomålsmail/A 37056-2026 FSC-klagomål mail.docx", "A 37056-2026")</f>
        <v/>
      </c>
      <c r="AC3">
        <f>HYPERLINK("https://klasma.github.io/Logging_1960/tillsyn/A 37056-2026 tillsynsbegäran.docx", "A 37056-2026")</f>
        <v/>
      </c>
      <c r="AD3">
        <f>HYPERLINK("https://klasma.github.io/Logging_1960/tillsynsmail/A 37056-2026 tillsynsbegäran mail.docx", "A 37056-2026")</f>
        <v/>
      </c>
      <c r="AE3">
        <f>HYPERLINK("https://klasma.github.io/Logging_1960/fåglar/A 37056-2026 prioriterade fågelarter.docx", "A 37056-2026")</f>
        <v/>
      </c>
    </row>
    <row r="4" ht="15" customHeight="1">
      <c r="A4" t="inlineStr">
        <is>
          <t>A 8475-2025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45709</v>
      </c>
      <c r="E4" s="1" t="n">
        <v>46302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15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8475-2025 artfynd.xlsx", "A 8475-2025")</f>
        <v/>
      </c>
      <c r="X4">
        <f>HYPERLINK("https://klasma.github.io/Logging_1960/kartor/A 8475-2025 karta.png", "A 8475-2025")</f>
        <v/>
      </c>
      <c r="Y4">
        <f>HYPERLINK("https://klasma.github.io/Logging_1960/kartor_geotiff/A 8475-2025 georefererad karta.tif", "A 8475-2025")</f>
        <v/>
      </c>
      <c r="Z4">
        <f>HYPERLINK("https://klasma.github.io/Logging_1960/knärot/A 8475-2025 karta knärot.png", "A 8475-2025")</f>
        <v/>
      </c>
      <c r="AA4">
        <f>HYPERLINK("https://klasma.github.io/Logging_1960/klagomål/A 8475-2025 FSC-klagomål.docx", "A 8475-2025")</f>
        <v/>
      </c>
      <c r="AB4">
        <f>HYPERLINK("https://klasma.github.io/Logging_1960/klagomålsmail/A 8475-2025 FSC-klagomål mail.docx", "A 8475-2025")</f>
        <v/>
      </c>
      <c r="AC4">
        <f>HYPERLINK("https://klasma.github.io/Logging_1960/tillsyn/A 8475-2025 tillsynsbegäran.docx", "A 8475-2025")</f>
        <v/>
      </c>
      <c r="AD4">
        <f>HYPERLINK("https://klasma.github.io/Logging_1960/tillsynsmail/A 8475-2025 tillsynsbegäran mail.docx", "A 8475-2025")</f>
        <v/>
      </c>
      <c r="AE4">
        <f>HYPERLINK("https://klasma.github.io/Logging_1960/fåglar/A 8475-2025 prioriterade fågelarter.docx", "A 8475-2025")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46302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46302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46302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46302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46302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46302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46302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46302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46302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46302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46302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46302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46302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46302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46302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46302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46302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46302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59615-2021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46302</v>
      </c>
      <c r="F23" t="inlineStr">
        <is>
          <t>VÄSTMANLANDS LÄN</t>
        </is>
      </c>
      <c r="G23" t="inlineStr">
        <is>
          <t>KUNGSÖR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59805-2024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45639</v>
      </c>
      <c r="E24" s="1" t="n">
        <v>46302</v>
      </c>
      <c r="F24" t="inlineStr">
        <is>
          <t>VÄSTMANLANDS LÄN</t>
        </is>
      </c>
      <c r="G24" t="inlineStr">
        <is>
          <t>KUNGSÖR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46302</v>
      </c>
      <c r="F25" t="inlineStr">
        <is>
          <t>VÄSTMANLANDS LÄN</t>
        </is>
      </c>
      <c r="G25" t="inlineStr">
        <is>
          <t>KUNGSÖR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10298-2026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46302</v>
      </c>
      <c r="F26" t="inlineStr">
        <is>
          <t>VÄSTMANLANDS LÄN</t>
        </is>
      </c>
      <c r="G26" t="inlineStr">
        <is>
          <t>KUNGSÖR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39717-2023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46302</v>
      </c>
      <c r="F27" t="inlineStr">
        <is>
          <t>VÄSTMANLANDS LÄN</t>
        </is>
      </c>
      <c r="G27" t="inlineStr">
        <is>
          <t>KUNGSÖR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46302</v>
      </c>
      <c r="F28" t="inlineStr">
        <is>
          <t>VÄSTMANLANDS LÄN</t>
        </is>
      </c>
      <c r="G28" t="inlineStr">
        <is>
          <t>KUNGSÖR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46302</v>
      </c>
      <c r="F29" t="inlineStr">
        <is>
          <t>VÄSTMANLANDS LÄN</t>
        </is>
      </c>
      <c r="G29" t="inlineStr">
        <is>
          <t>KUNGSÖR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46302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46302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46302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46302</v>
      </c>
      <c r="F33" t="inlineStr">
        <is>
          <t>VÄSTMANLANDS LÄN</t>
        </is>
      </c>
      <c r="G33" t="inlineStr">
        <is>
          <t>KUNGSÖR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46302</v>
      </c>
      <c r="F34" t="inlineStr">
        <is>
          <t>VÄSTMANLANDS LÄN</t>
        </is>
      </c>
      <c r="G34" t="inlineStr">
        <is>
          <t>KUNGSÖR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46302</v>
      </c>
      <c r="F35" t="inlineStr">
        <is>
          <t>VÄSTMANLANDS LÄN</t>
        </is>
      </c>
      <c r="G35" t="inlineStr">
        <is>
          <t>KUNGSÖR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26274-2026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46302</v>
      </c>
      <c r="F36" t="inlineStr">
        <is>
          <t>VÄSTMANLANDS LÄN</t>
        </is>
      </c>
      <c r="G36" t="inlineStr">
        <is>
          <t>KUNGSÖR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26257-2026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46302</v>
      </c>
      <c r="F37" t="inlineStr">
        <is>
          <t>VÄSTMANLANDS LÄN</t>
        </is>
      </c>
      <c r="G37" t="inlineStr">
        <is>
          <t>KUNGSÖR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27399-2026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46189</v>
      </c>
      <c r="E38" s="1" t="n">
        <v>46302</v>
      </c>
      <c r="F38" t="inlineStr">
        <is>
          <t>VÄSTMANLANDS LÄN</t>
        </is>
      </c>
      <c r="G38" t="inlineStr">
        <is>
          <t>KUNGSÖR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27400-2026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46189</v>
      </c>
      <c r="E39" s="1" t="n">
        <v>46302</v>
      </c>
      <c r="F39" t="inlineStr">
        <is>
          <t>VÄSTMANLANDS LÄN</t>
        </is>
      </c>
      <c r="G39" t="inlineStr">
        <is>
          <t>KUNGSÖR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46302</v>
      </c>
      <c r="F40" t="inlineStr">
        <is>
          <t>VÄSTMANLANDS LÄN</t>
        </is>
      </c>
      <c r="G40" t="inlineStr">
        <is>
          <t>KUNGSÖR</t>
        </is>
      </c>
      <c r="I40" t="n">
        <v>32.3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46302</v>
      </c>
      <c r="F41" t="inlineStr">
        <is>
          <t>VÄSTMANLANDS LÄN</t>
        </is>
      </c>
      <c r="G41" t="inlineStr">
        <is>
          <t>KUNGSÖR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52795-2023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46302</v>
      </c>
      <c r="F42" t="inlineStr">
        <is>
          <t>VÄSTMANLANDS LÄN</t>
        </is>
      </c>
      <c r="G42" t="inlineStr">
        <is>
          <t>KUNGSÖR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35521-2026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46262</v>
      </c>
      <c r="E43" s="1" t="n">
        <v>46302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35459-2026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46302</v>
      </c>
      <c r="F44" t="inlineStr">
        <is>
          <t>VÄSTMANLANDS LÄN</t>
        </is>
      </c>
      <c r="G44" t="inlineStr">
        <is>
          <t>KUNGSÖR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16735-2023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46302</v>
      </c>
      <c r="F45" t="inlineStr">
        <is>
          <t>VÄSTMANLANDS LÄN</t>
        </is>
      </c>
      <c r="G45" t="inlineStr">
        <is>
          <t>KUNGSÖR</t>
        </is>
      </c>
      <c r="I45" t="n">
        <v>8.699999999999999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45048</v>
      </c>
      <c r="E46" s="1" t="n">
        <v>46302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37045-2026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46273</v>
      </c>
      <c r="E47" s="1" t="n">
        <v>46302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46273</v>
      </c>
      <c r="E48" s="1" t="n">
        <v>46302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37865-2026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46279</v>
      </c>
      <c r="E49" s="1" t="n">
        <v>46302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9.1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46302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9.699999999999999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46302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52802-2022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46302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46302</v>
      </c>
      <c r="F53" t="inlineStr">
        <is>
          <t>VÄSTMANLANDS LÄN</t>
        </is>
      </c>
      <c r="G53" t="inlineStr">
        <is>
          <t>KUNGSÖR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46302</v>
      </c>
      <c r="F54" t="inlineStr">
        <is>
          <t>VÄSTMANLANDS LÄN</t>
        </is>
      </c>
      <c r="G54" t="inlineStr">
        <is>
          <t>KUNGSÖR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46302</v>
      </c>
      <c r="F55" t="inlineStr">
        <is>
          <t>VÄSTMANLANDS LÄN</t>
        </is>
      </c>
      <c r="G55" t="inlineStr">
        <is>
          <t>KUNGSÖR</t>
        </is>
      </c>
      <c r="I55" t="n">
        <v>12.7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19266-2024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46302</v>
      </c>
      <c r="F56" t="inlineStr">
        <is>
          <t>VÄSTMANLANDS LÄN</t>
        </is>
      </c>
      <c r="G56" t="inlineStr">
        <is>
          <t>KUNGSÖR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46302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44950</v>
      </c>
      <c r="E58" s="1" t="n">
        <v>46302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46302</v>
      </c>
      <c r="F59" t="inlineStr">
        <is>
          <t>VÄSTMANLANDS LÄN</t>
        </is>
      </c>
      <c r="G59" t="inlineStr">
        <is>
          <t>KUNGSÖR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46302</v>
      </c>
      <c r="F60" t="inlineStr">
        <is>
          <t>VÄSTMANLANDS LÄN</t>
        </is>
      </c>
      <c r="G60" t="inlineStr">
        <is>
          <t>KUNGSÖR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46302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10.5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46302</v>
      </c>
      <c r="F62" t="inlineStr">
        <is>
          <t>VÄSTMANLANDS LÄN</t>
        </is>
      </c>
      <c r="G62" t="inlineStr">
        <is>
          <t>KUNGSÖR</t>
        </is>
      </c>
      <c r="I62" t="n">
        <v>13.9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46302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46302</v>
      </c>
      <c r="F64" t="inlineStr">
        <is>
          <t>VÄSTMANLANDS LÄN</t>
        </is>
      </c>
      <c r="G64" t="inlineStr">
        <is>
          <t>KUNGSÖR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45092</v>
      </c>
      <c r="E65" s="1" t="n">
        <v>46302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20.3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46302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46302</v>
      </c>
      <c r="F67" t="inlineStr">
        <is>
          <t>VÄSTMANLANDS LÄN</t>
        </is>
      </c>
      <c r="G67" t="inlineStr">
        <is>
          <t>KUNGSÖR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46302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46302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46302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2026-10-07T02:07:32Z</dcterms:created>
  <dcterms:modified xmlns:dcterms="http://purl.org/dc/terms/" xmlns:xsi="http://www.w3.org/2001/XMLSchema-instance" xsi:type="dcterms:W3CDTF">2026-10-07T02:07:32Z</dcterms:modified>
</cp:coreProperties>
</file>