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46190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46190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46190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46190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46190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46190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46190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46190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36419-2022</t>
        </is>
      </c>
      <c r="B11" s="1" t="n">
        <v>44803</v>
      </c>
      <c r="C11" s="1" t="n">
        <v>46190</v>
      </c>
      <c r="D11" t="inlineStr">
        <is>
          <t>VÄSTMANLANDS LÄN</t>
        </is>
      </c>
      <c r="E11" t="inlineStr">
        <is>
          <t>KUNGSÖR</t>
        </is>
      </c>
      <c r="G11" t="n">
        <v>16.2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54188-2021</t>
        </is>
      </c>
      <c r="B12" s="1" t="n">
        <v>44470</v>
      </c>
      <c r="C12" s="1" t="n">
        <v>46190</v>
      </c>
      <c r="D12" t="inlineStr">
        <is>
          <t>VÄSTMANLANDS LÄN</t>
        </is>
      </c>
      <c r="E12" t="inlineStr">
        <is>
          <t>KUNGSÖR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72700-2021</t>
        </is>
      </c>
      <c r="B13" s="1" t="n">
        <v>44545</v>
      </c>
      <c r="C13" s="1" t="n">
        <v>46190</v>
      </c>
      <c r="D13" t="inlineStr">
        <is>
          <t>VÄSTMANLANDS LÄN</t>
        </is>
      </c>
      <c r="E13" t="inlineStr">
        <is>
          <t>KUNGSÖR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6319-2022</t>
        </is>
      </c>
      <c r="B14" s="1" t="n">
        <v>44600</v>
      </c>
      <c r="C14" s="1" t="n">
        <v>46190</v>
      </c>
      <c r="D14" t="inlineStr">
        <is>
          <t>VÄSTMANLANDS LÄN</t>
        </is>
      </c>
      <c r="E14" t="inlineStr">
        <is>
          <t>KUNGSÖR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39717-2023</t>
        </is>
      </c>
      <c r="B15" s="1" t="n">
        <v>45167.62804398148</v>
      </c>
      <c r="C15" s="1" t="n">
        <v>46190</v>
      </c>
      <c r="D15" t="inlineStr">
        <is>
          <t>VÄSTMANLANDS LÄN</t>
        </is>
      </c>
      <c r="E15" t="inlineStr">
        <is>
          <t>KUNGSÖR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38308-2023</t>
        </is>
      </c>
      <c r="B16" s="1" t="n">
        <v>45161.66641203704</v>
      </c>
      <c r="C16" s="1" t="n">
        <v>46190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55003-2022</t>
        </is>
      </c>
      <c r="B17" s="1" t="n">
        <v>44886.51076388889</v>
      </c>
      <c r="C17" s="1" t="n">
        <v>46190</v>
      </c>
      <c r="D17" t="inlineStr">
        <is>
          <t>VÄSTMANLANDS LÄN</t>
        </is>
      </c>
      <c r="E17" t="inlineStr">
        <is>
          <t>KUNGSÖR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46190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23574-2023</t>
        </is>
      </c>
      <c r="B19" s="1" t="n">
        <v>45077</v>
      </c>
      <c r="C19" s="1" t="n">
        <v>46190</v>
      </c>
      <c r="D19" t="inlineStr">
        <is>
          <t>VÄSTMANLANDS LÄN</t>
        </is>
      </c>
      <c r="E19" t="inlineStr">
        <is>
          <t>KUNGSÖR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47123-2024</t>
        </is>
      </c>
      <c r="B20" s="1" t="n">
        <v>45586.5691087963</v>
      </c>
      <c r="C20" s="1" t="n">
        <v>46190</v>
      </c>
      <c r="D20" t="inlineStr">
        <is>
          <t>VÄSTMANLANDS LÄN</t>
        </is>
      </c>
      <c r="E20" t="inlineStr">
        <is>
          <t>KUNGSÖR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26382-2023</t>
        </is>
      </c>
      <c r="B21" s="1" t="n">
        <v>45092</v>
      </c>
      <c r="C21" s="1" t="n">
        <v>46190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20.3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46190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46190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46190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46190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55072-2021</t>
        </is>
      </c>
      <c r="B26" s="1" t="n">
        <v>44474.64513888889</v>
      </c>
      <c r="C26" s="1" t="n">
        <v>46190</v>
      </c>
      <c r="D26" t="inlineStr">
        <is>
          <t>VÄSTMANLANDS LÄN</t>
        </is>
      </c>
      <c r="E26" t="inlineStr">
        <is>
          <t>KUNGSÖR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45159-2021</t>
        </is>
      </c>
      <c r="B27" s="1" t="n">
        <v>44439</v>
      </c>
      <c r="C27" s="1" t="n">
        <v>46190</v>
      </c>
      <c r="D27" t="inlineStr">
        <is>
          <t>VÄSTMANLANDS LÄN</t>
        </is>
      </c>
      <c r="E27" t="inlineStr">
        <is>
          <t>KUNGSÖR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46190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46190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60736-2024</t>
        </is>
      </c>
      <c r="B30" s="1" t="n">
        <v>45644</v>
      </c>
      <c r="C30" s="1" t="n">
        <v>46190</v>
      </c>
      <c r="D30" t="inlineStr">
        <is>
          <t>VÄSTMANLANDS LÄN</t>
        </is>
      </c>
      <c r="E30" t="inlineStr">
        <is>
          <t>KUNGSÖR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52789-2024</t>
        </is>
      </c>
      <c r="B31" s="1" t="n">
        <v>45610.55425925926</v>
      </c>
      <c r="C31" s="1" t="n">
        <v>46190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10516-2022</t>
        </is>
      </c>
      <c r="B32" s="1" t="n">
        <v>44623.71763888889</v>
      </c>
      <c r="C32" s="1" t="n">
        <v>46190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10517-2022</t>
        </is>
      </c>
      <c r="B33" s="1" t="n">
        <v>44623</v>
      </c>
      <c r="C33" s="1" t="n">
        <v>46190</v>
      </c>
      <c r="D33" t="inlineStr">
        <is>
          <t>VÄSTMANLANDS LÄN</t>
        </is>
      </c>
      <c r="E33" t="inlineStr">
        <is>
          <t>KUNGSÖR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46190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50058-2021</t>
        </is>
      </c>
      <c r="B35" s="1" t="n">
        <v>44456.54690972222</v>
      </c>
      <c r="C35" s="1" t="n">
        <v>46190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19917-2025</t>
        </is>
      </c>
      <c r="B36" s="1" t="n">
        <v>45771</v>
      </c>
      <c r="C36" s="1" t="n">
        <v>46190</v>
      </c>
      <c r="D36" t="inlineStr">
        <is>
          <t>VÄSTMANLANDS LÄN</t>
        </is>
      </c>
      <c r="E36" t="inlineStr">
        <is>
          <t>KUNGSÖR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19420-2024</t>
        </is>
      </c>
      <c r="B37" s="1" t="n">
        <v>45429.42680555556</v>
      </c>
      <c r="C37" s="1" t="n">
        <v>46190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40607-2024</t>
        </is>
      </c>
      <c r="B38" s="1" t="n">
        <v>45556.70357638889</v>
      </c>
      <c r="C38" s="1" t="n">
        <v>46190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60754-2024</t>
        </is>
      </c>
      <c r="B39" s="1" t="n">
        <v>45644</v>
      </c>
      <c r="C39" s="1" t="n">
        <v>46190</v>
      </c>
      <c r="D39" t="inlineStr">
        <is>
          <t>VÄSTMANLANDS LÄN</t>
        </is>
      </c>
      <c r="E39" t="inlineStr">
        <is>
          <t>KUNGSÖR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24023-2025</t>
        </is>
      </c>
      <c r="B40" s="1" t="n">
        <v>45796</v>
      </c>
      <c r="C40" s="1" t="n">
        <v>46190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11771-2025</t>
        </is>
      </c>
      <c r="B41" s="1" t="n">
        <v>45727</v>
      </c>
      <c r="C41" s="1" t="n">
        <v>46190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44720-2021</t>
        </is>
      </c>
      <c r="B42" s="1" t="n">
        <v>44438</v>
      </c>
      <c r="C42" s="1" t="n">
        <v>46190</v>
      </c>
      <c r="D42" t="inlineStr">
        <is>
          <t>VÄSTMANLANDS LÄN</t>
        </is>
      </c>
      <c r="E42" t="inlineStr">
        <is>
          <t>KUNGSÖR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6734-2022</t>
        </is>
      </c>
      <c r="B43" s="1" t="n">
        <v>44602.46284722222</v>
      </c>
      <c r="C43" s="1" t="n">
        <v>46190</v>
      </c>
      <c r="D43" t="inlineStr">
        <is>
          <t>VÄSTMANLANDS LÄN</t>
        </is>
      </c>
      <c r="E43" t="inlineStr">
        <is>
          <t>KUNGSÖR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30634-2023</t>
        </is>
      </c>
      <c r="B44" s="1" t="n">
        <v>45112.45543981482</v>
      </c>
      <c r="C44" s="1" t="n">
        <v>46190</v>
      </c>
      <c r="D44" t="inlineStr">
        <is>
          <t>VÄSTMANLANDS LÄN</t>
        </is>
      </c>
      <c r="E44" t="inlineStr">
        <is>
          <t>KUNGSÖR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1040-2025</t>
        </is>
      </c>
      <c r="B45" s="1" t="n">
        <v>45666.54564814815</v>
      </c>
      <c r="C45" s="1" t="n">
        <v>46190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59805-2024</t>
        </is>
      </c>
      <c r="B46" s="1" t="n">
        <v>45639.60199074074</v>
      </c>
      <c r="C46" s="1" t="n">
        <v>46190</v>
      </c>
      <c r="D46" t="inlineStr">
        <is>
          <t>VÄSTMANLANDS LÄN</t>
        </is>
      </c>
      <c r="E46" t="inlineStr">
        <is>
          <t>KUNGSÖR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52795-2023</t>
        </is>
      </c>
      <c r="B47" s="1" t="n">
        <v>45226.35605324074</v>
      </c>
      <c r="C47" s="1" t="n">
        <v>46190</v>
      </c>
      <c r="D47" t="inlineStr">
        <is>
          <t>VÄSTMANLANDS LÄN</t>
        </is>
      </c>
      <c r="E47" t="inlineStr">
        <is>
          <t>KUNGSÖR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33035-2025</t>
        </is>
      </c>
      <c r="B48" s="1" t="n">
        <v>45840</v>
      </c>
      <c r="C48" s="1" t="n">
        <v>46190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46190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19082-2023</t>
        </is>
      </c>
      <c r="B50" s="1" t="n">
        <v>45048</v>
      </c>
      <c r="C50" s="1" t="n">
        <v>46190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38938-2021</t>
        </is>
      </c>
      <c r="B51" s="1" t="n">
        <v>44411.63415509259</v>
      </c>
      <c r="C51" s="1" t="n">
        <v>46190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26029-2022</t>
        </is>
      </c>
      <c r="B52" s="1" t="n">
        <v>44734</v>
      </c>
      <c r="C52" s="1" t="n">
        <v>46190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46190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52802-2022</t>
        </is>
      </c>
      <c r="B54" s="1" t="n">
        <v>44875</v>
      </c>
      <c r="C54" s="1" t="n">
        <v>46190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46190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46190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46076.6277662037</v>
      </c>
      <c r="C57" s="1" t="n">
        <v>46190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46190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46190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46190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46190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46190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44391.4878587963</v>
      </c>
      <c r="C63" s="1" t="n">
        <v>46190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46190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46190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46190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46190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33022-2025</t>
        </is>
      </c>
      <c r="B68" s="1" t="n">
        <v>45840</v>
      </c>
      <c r="C68" s="1" t="n">
        <v>46190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61260-2025</t>
        </is>
      </c>
      <c r="B69" s="1" t="n">
        <v>46000</v>
      </c>
      <c r="C69" s="1" t="n">
        <v>46190</v>
      </c>
      <c r="D69" t="inlineStr">
        <is>
          <t>VÄSTMANLANDS LÄN</t>
        </is>
      </c>
      <c r="E69" t="inlineStr">
        <is>
          <t>KUNGSÖR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20376-2026</t>
        </is>
      </c>
      <c r="B70" s="1" t="n">
        <v>46139</v>
      </c>
      <c r="C70" s="1" t="n">
        <v>46190</v>
      </c>
      <c r="D70" t="inlineStr">
        <is>
          <t>VÄSTMANLANDS LÄN</t>
        </is>
      </c>
      <c r="E70" t="inlineStr">
        <is>
          <t>KUNGSÖR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25961-2026</t>
        </is>
      </c>
      <c r="B71" s="1" t="n">
        <v>46181.36193287037</v>
      </c>
      <c r="C71" s="1" t="n">
        <v>46190</v>
      </c>
      <c r="D71" t="inlineStr">
        <is>
          <t>VÄSTMANLANDS LÄN</t>
        </is>
      </c>
      <c r="E71" t="inlineStr">
        <is>
          <t>KUNGSÖR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HYPERLINK("https://klasma.github.io/Logging_1960/knärot/A 25961-2026 karta knärot.png", "A 25961-2026")</f>
        <v/>
      </c>
      <c r="V71">
        <f>HYPERLINK("https://klasma.github.io/Logging_1960/klagomål/A 25961-2026 FSC-klagomål.docx", "A 25961-2026")</f>
        <v/>
      </c>
      <c r="W71">
        <f>HYPERLINK("https://klasma.github.io/Logging_1960/klagomålsmail/A 25961-2026 FSC-klagomål mail.docx", "A 25961-2026")</f>
        <v/>
      </c>
      <c r="X71">
        <f>HYPERLINK("https://klasma.github.io/Logging_1960/tillsyn/A 25961-2026 tillsynsbegäran.docx", "A 25961-2026")</f>
        <v/>
      </c>
      <c r="Y71">
        <f>HYPERLINK("https://klasma.github.io/Logging_1960/tillsynsmail/A 25961-2026 tillsynsbegäran mail.docx", "A 25961-2026")</f>
        <v/>
      </c>
    </row>
    <row r="72" ht="15" customHeight="1">
      <c r="A72" t="inlineStr">
        <is>
          <t>A 26257-2026</t>
        </is>
      </c>
      <c r="B72" s="1" t="n">
        <v>46182.51347222222</v>
      </c>
      <c r="C72" s="1" t="n">
        <v>46190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26274-2026</t>
        </is>
      </c>
      <c r="B73" s="1" t="n">
        <v>46182.54668981482</v>
      </c>
      <c r="C73" s="1" t="n">
        <v>46190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27399-2026</t>
        </is>
      </c>
      <c r="B74" s="1" t="n">
        <v>46189.35510416667</v>
      </c>
      <c r="C74" s="1" t="n">
        <v>46190</v>
      </c>
      <c r="D74" t="inlineStr">
        <is>
          <t>VÄSTMANLANDS LÄN</t>
        </is>
      </c>
      <c r="E74" t="inlineStr">
        <is>
          <t>KUNGSÖR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27400-2026</t>
        </is>
      </c>
      <c r="B75" s="1" t="n">
        <v>46189.35659722222</v>
      </c>
      <c r="C75" s="1" t="n">
        <v>46190</v>
      </c>
      <c r="D75" t="inlineStr">
        <is>
          <t>VÄSTMANLANDS LÄN</t>
        </is>
      </c>
      <c r="E75" t="inlineStr">
        <is>
          <t>KUNGSÖR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2026-06-17T09:18:27Z</dcterms:created>
  <dcterms:modified xmlns:dcterms="http://purl.org/dc/terms/" xmlns:xsi="http://www.w3.org/2001/XMLSchema-instance" xsi:type="dcterms:W3CDTF">2026-06-17T09:18:27Z</dcterms:modified>
</cp:coreProperties>
</file>