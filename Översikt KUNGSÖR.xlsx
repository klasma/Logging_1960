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46218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46218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46218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46218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46218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46218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46218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Blåsippa</t>
        </is>
      </c>
      <c r="V8">
        <f>HYPERLINK("https://klasma.github.io/Logging_1960/artfynd/A 53870-2022 artfynd.xlsx", "A 53870-2022")</f>
        <v/>
      </c>
      <c r="W8">
        <f>HYPERLINK("https://klasma.github.io/Logging_1960/kartor/A 53870-2022 karta.png", "A 53870-2022")</f>
        <v/>
      </c>
      <c r="Y8">
        <f>HYPERLINK("https://klasma.github.io/Logging_1960/klagomål/A 53870-2022 FSC-klagomål.docx", "A 53870-2022")</f>
        <v/>
      </c>
      <c r="Z8">
        <f>HYPERLINK("https://klasma.github.io/Logging_1960/klagomålsmail/A 53870-2022 FSC-klagomål mail.docx", "A 53870-2022")</f>
        <v/>
      </c>
      <c r="AA8">
        <f>HYPERLINK("https://klasma.github.io/Logging_1960/tillsyn/A 53870-2022 tillsynsbegäran.docx", "A 53870-2022")</f>
        <v/>
      </c>
      <c r="AB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46218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s="2" t="inlineStr">
        <is>
          <t>Knärot</t>
        </is>
      </c>
      <c r="V9">
        <f>HYPERLINK("https://klasma.github.io/Logging_1960/artfynd/A 25961-2026 artfynd.xlsx", "A 25961-2026")</f>
        <v/>
      </c>
      <c r="W9">
        <f>HYPERLINK("https://klasma.github.io/Logging_1960/kartor/A 25961-2026 karta.png", "A 25961-2026")</f>
        <v/>
      </c>
      <c r="X9">
        <f>HYPERLINK("https://klasma.github.io/Logging_1960/knärot/A 25961-2026 karta knärot.png", "A 25961-2026")</f>
        <v/>
      </c>
      <c r="Y9">
        <f>HYPERLINK("https://klasma.github.io/Logging_1960/klagomål/A 25961-2026 FSC-klagomål.docx", "A 25961-2026")</f>
        <v/>
      </c>
      <c r="Z9">
        <f>HYPERLINK("https://klasma.github.io/Logging_1960/klagomålsmail/A 25961-2026 FSC-klagomål mail.docx", "A 25961-2026")</f>
        <v/>
      </c>
      <c r="AA9">
        <f>HYPERLINK("https://klasma.github.io/Logging_1960/tillsyn/A 25961-2026 tillsynsbegäran.docx", "A 25961-2026")</f>
        <v/>
      </c>
      <c r="AB9">
        <f>HYPERLINK("https://klasma.github.io/Logging_1960/tillsynsmail/A 25961-2026 tillsynsbegäran mail.docx", "A 25961-2026")</f>
        <v/>
      </c>
    </row>
    <row r="10" ht="15" customHeight="1">
      <c r="A10" t="inlineStr">
        <is>
          <t>A 36639-2021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44392</v>
      </c>
      <c r="E10" s="1" t="n">
        <v>46218</v>
      </c>
      <c r="F10" t="inlineStr">
        <is>
          <t>VÄSTMANLANDS LÄN</t>
        </is>
      </c>
      <c r="G10" t="inlineStr">
        <is>
          <t>KUNGSÖR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46218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46218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46218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46218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46218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46218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46218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45159-2021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44439</v>
      </c>
      <c r="E18" s="1" t="n">
        <v>46218</v>
      </c>
      <c r="F18" t="inlineStr">
        <is>
          <t>VÄSTMANLANDS LÄN</t>
        </is>
      </c>
      <c r="G18" t="inlineStr">
        <is>
          <t>KUNGSÖR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41446-2023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46218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8.4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30621-2023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46218</v>
      </c>
      <c r="F20" t="inlineStr">
        <is>
          <t>VÄSTMANLANDS LÄN</t>
        </is>
      </c>
      <c r="G20" t="inlineStr">
        <is>
          <t>KUNGSÖR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30623-2023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46218</v>
      </c>
      <c r="F21" t="inlineStr">
        <is>
          <t>VÄSTMANLANDS LÄN</t>
        </is>
      </c>
      <c r="G21" t="inlineStr">
        <is>
          <t>KUNGSÖR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19266-2024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45428</v>
      </c>
      <c r="E22" s="1" t="n">
        <v>46218</v>
      </c>
      <c r="F22" t="inlineStr">
        <is>
          <t>VÄSTMANLANDS LÄN</t>
        </is>
      </c>
      <c r="G22" t="inlineStr">
        <is>
          <t>KUNGSÖR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46218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52809-2022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46218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44950</v>
      </c>
      <c r="E25" s="1" t="n">
        <v>46218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55072-2021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44474</v>
      </c>
      <c r="E26" s="1" t="n">
        <v>46218</v>
      </c>
      <c r="F26" t="inlineStr">
        <is>
          <t>VÄSTMANLANDS LÄN</t>
        </is>
      </c>
      <c r="G26" t="inlineStr">
        <is>
          <t>KUNGSÖR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36638-2021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44392</v>
      </c>
      <c r="E27" s="1" t="n">
        <v>46218</v>
      </c>
      <c r="F27" t="inlineStr">
        <is>
          <t>VÄSTMANLANDS LÄN</t>
        </is>
      </c>
      <c r="G27" t="inlineStr">
        <is>
          <t>KUNGSÖR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1906-2022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44575</v>
      </c>
      <c r="E28" s="1" t="n">
        <v>46218</v>
      </c>
      <c r="F28" t="inlineStr">
        <is>
          <t>VÄSTMANLANDS LÄN</t>
        </is>
      </c>
      <c r="G28" t="inlineStr">
        <is>
          <t>KUNGSÖR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51096-2024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46218</v>
      </c>
      <c r="F29" t="inlineStr">
        <is>
          <t>VÄSTMANLANDS LÄN</t>
        </is>
      </c>
      <c r="G29" t="inlineStr">
        <is>
          <t>KUNGSÖR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10516-2022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44623</v>
      </c>
      <c r="E30" s="1" t="n">
        <v>46218</v>
      </c>
      <c r="F30" t="inlineStr">
        <is>
          <t>VÄSTMANLANDS LÄN</t>
        </is>
      </c>
      <c r="G30" t="inlineStr">
        <is>
          <t>KUNGSÖR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10517-2022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44623</v>
      </c>
      <c r="E31" s="1" t="n">
        <v>46218</v>
      </c>
      <c r="F31" t="inlineStr">
        <is>
          <t>VÄSTMANLANDS LÄN</t>
        </is>
      </c>
      <c r="G31" t="inlineStr">
        <is>
          <t>KUNGSÖR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50058-2021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46218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40607-2024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45556</v>
      </c>
      <c r="E33" s="1" t="n">
        <v>46218</v>
      </c>
      <c r="F33" t="inlineStr">
        <is>
          <t>VÄSTMANLANDS LÄN</t>
        </is>
      </c>
      <c r="G33" t="inlineStr">
        <is>
          <t>KUNGSÖR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59853-2022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44908</v>
      </c>
      <c r="E34" s="1" t="n">
        <v>46218</v>
      </c>
      <c r="F34" t="inlineStr">
        <is>
          <t>VÄSTMANLANDS LÄN</t>
        </is>
      </c>
      <c r="G34" t="inlineStr">
        <is>
          <t>KUNGSÖR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8193-2023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46218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10.5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8228-2023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46218</v>
      </c>
      <c r="F36" t="inlineStr">
        <is>
          <t>VÄSTMANLANDS LÄN</t>
        </is>
      </c>
      <c r="G36" t="inlineStr">
        <is>
          <t>KUNGSÖR</t>
        </is>
      </c>
      <c r="I36" t="n">
        <v>13.9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46218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44720-2021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44438</v>
      </c>
      <c r="E38" s="1" t="n">
        <v>46218</v>
      </c>
      <c r="F38" t="inlineStr">
        <is>
          <t>VÄSTMANLANDS LÄN</t>
        </is>
      </c>
      <c r="G38" t="inlineStr">
        <is>
          <t>KUNGSÖR</t>
        </is>
      </c>
      <c r="I38" t="n">
        <v>11.4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31883-2022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44777</v>
      </c>
      <c r="E39" s="1" t="n">
        <v>46218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23574-2023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45077</v>
      </c>
      <c r="E40" s="1" t="n">
        <v>46218</v>
      </c>
      <c r="F40" t="inlineStr">
        <is>
          <t>VÄSTMANLANDS LÄN</t>
        </is>
      </c>
      <c r="G40" t="inlineStr">
        <is>
          <t>KUNGSÖR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45092</v>
      </c>
      <c r="E41" s="1" t="n">
        <v>46218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6734-2022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46218</v>
      </c>
      <c r="F42" t="inlineStr">
        <is>
          <t>VÄSTMANLANDS LÄN</t>
        </is>
      </c>
      <c r="G42" t="inlineStr">
        <is>
          <t>KUNGSÖR</t>
        </is>
      </c>
      <c r="I42" t="n">
        <v>32.3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30634-2023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46218</v>
      </c>
      <c r="F43" t="inlineStr">
        <is>
          <t>VÄSTMANLANDS LÄN</t>
        </is>
      </c>
      <c r="G43" t="inlineStr">
        <is>
          <t>KUNGSÖR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52789-2024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46218</v>
      </c>
      <c r="F44" t="inlineStr">
        <is>
          <t>VÄSTMANLANDS LÄN</t>
        </is>
      </c>
      <c r="G44" t="inlineStr">
        <is>
          <t>KUNGSÖR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59805-2024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45639</v>
      </c>
      <c r="E45" s="1" t="n">
        <v>46218</v>
      </c>
      <c r="F45" t="inlineStr">
        <is>
          <t>VÄSTMANLANDS LÄN</t>
        </is>
      </c>
      <c r="G45" t="inlineStr">
        <is>
          <t>KUNGSÖR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52795-2023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45226</v>
      </c>
      <c r="E46" s="1" t="n">
        <v>46218</v>
      </c>
      <c r="F46" t="inlineStr">
        <is>
          <t>VÄSTMANLANDS LÄN</t>
        </is>
      </c>
      <c r="G46" t="inlineStr">
        <is>
          <t>KUNGSÖR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19420-2024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46218</v>
      </c>
      <c r="F47" t="inlineStr">
        <is>
          <t>VÄSTMANLANDS LÄN</t>
        </is>
      </c>
      <c r="G47" t="inlineStr">
        <is>
          <t>KUNGSÖR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60754-2024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46218</v>
      </c>
      <c r="F48" t="inlineStr">
        <is>
          <t>VÄSTMANLANDS LÄN</t>
        </is>
      </c>
      <c r="G48" t="inlineStr">
        <is>
          <t>KUNGSÖR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24023-2025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45796</v>
      </c>
      <c r="E49" s="1" t="n">
        <v>46218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46218</v>
      </c>
      <c r="F50" t="inlineStr">
        <is>
          <t>VÄSTMANLANDS LÄN</t>
        </is>
      </c>
      <c r="G50" t="inlineStr">
        <is>
          <t>KUNGSÖR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38308-2023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46218</v>
      </c>
      <c r="F51" t="inlineStr">
        <is>
          <t>VÄSTMANLANDS LÄN</t>
        </is>
      </c>
      <c r="G51" t="inlineStr">
        <is>
          <t>KUNGSÖR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44886</v>
      </c>
      <c r="E52" s="1" t="n">
        <v>46218</v>
      </c>
      <c r="F52" t="inlineStr">
        <is>
          <t>VÄSTMANLANDS LÄN</t>
        </is>
      </c>
      <c r="G52" t="inlineStr">
        <is>
          <t>KUNGSÖR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47123-2024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45586</v>
      </c>
      <c r="E53" s="1" t="n">
        <v>46218</v>
      </c>
      <c r="F53" t="inlineStr">
        <is>
          <t>VÄSTMANLANDS LÄN</t>
        </is>
      </c>
      <c r="G53" t="inlineStr">
        <is>
          <t>KUNGSÖR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16735-2023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45030</v>
      </c>
      <c r="E54" s="1" t="n">
        <v>46218</v>
      </c>
      <c r="F54" t="inlineStr">
        <is>
          <t>VÄSTMANLANDS LÄN</t>
        </is>
      </c>
      <c r="G54" t="inlineStr">
        <is>
          <t>KUNGSÖR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40815-2022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46218</v>
      </c>
      <c r="F55" t="inlineStr">
        <is>
          <t>VÄSTMANLANDS LÄN</t>
        </is>
      </c>
      <c r="G55" t="inlineStr">
        <is>
          <t>KUNGSÖR</t>
        </is>
      </c>
      <c r="I55" t="n">
        <v>15.9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46218</v>
      </c>
      <c r="F56" t="inlineStr">
        <is>
          <t>VÄSTMANLANDS LÄN</t>
        </is>
      </c>
      <c r="G56" t="inlineStr">
        <is>
          <t>KUNGSÖR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19082-2023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45048</v>
      </c>
      <c r="E57" s="1" t="n">
        <v>46218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61260-2025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46218</v>
      </c>
      <c r="F58" t="inlineStr">
        <is>
          <t>VÄSTMANLANDS LÄN</t>
        </is>
      </c>
      <c r="G58" t="inlineStr">
        <is>
          <t>KUNGSÖR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38938-2021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44411</v>
      </c>
      <c r="E59" s="1" t="n">
        <v>46218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26029-2022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46218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26257-2026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46218</v>
      </c>
      <c r="F61" t="inlineStr">
        <is>
          <t>VÄSTMANLANDS LÄN</t>
        </is>
      </c>
      <c r="G61" t="inlineStr">
        <is>
          <t>KUNGSÖR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59612-2021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46218</v>
      </c>
      <c r="F62" t="inlineStr">
        <is>
          <t>VÄSTMANLANDS LÄN</t>
        </is>
      </c>
      <c r="G62" t="inlineStr">
        <is>
          <t>KUNGSÖR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52802-2022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46218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26274-2026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46218</v>
      </c>
      <c r="F64" t="inlineStr">
        <is>
          <t>VÄSTMANLANDS LÄN</t>
        </is>
      </c>
      <c r="G64" t="inlineStr">
        <is>
          <t>KUNGSÖR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59615-2021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46218</v>
      </c>
      <c r="F65" t="inlineStr">
        <is>
          <t>VÄSTMANLANDS LÄN</t>
        </is>
      </c>
      <c r="G65" t="inlineStr">
        <is>
          <t>KUNGSÖR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39269-2023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46218</v>
      </c>
      <c r="F66" t="inlineStr">
        <is>
          <t>VÄSTMANLANDS LÄN</t>
        </is>
      </c>
      <c r="G66" t="inlineStr">
        <is>
          <t>KUNGSÖR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27400-2026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46189</v>
      </c>
      <c r="E67" s="1" t="n">
        <v>46218</v>
      </c>
      <c r="F67" t="inlineStr">
        <is>
          <t>VÄSTMANLANDS LÄN</t>
        </is>
      </c>
      <c r="G67" t="inlineStr">
        <is>
          <t>KUNGSÖR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27399-2026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46189</v>
      </c>
      <c r="E68" s="1" t="n">
        <v>46218</v>
      </c>
      <c r="F68" t="inlineStr">
        <is>
          <t>VÄSTMANLANDS LÄN</t>
        </is>
      </c>
      <c r="G68" t="inlineStr">
        <is>
          <t>KUNGSÖR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59609-2021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46218</v>
      </c>
      <c r="F69" t="inlineStr">
        <is>
          <t>VÄSTMANLANDS LÄN</t>
        </is>
      </c>
      <c r="G69" t="inlineStr">
        <is>
          <t>KUNGSÖR</t>
        </is>
      </c>
      <c r="I69" t="n">
        <v>12.7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10298-2026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46076</v>
      </c>
      <c r="E70" s="1" t="n">
        <v>46218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33022-2025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46218</v>
      </c>
      <c r="F71" t="inlineStr">
        <is>
          <t>VÄSTMANLANDS LÄN</t>
        </is>
      </c>
      <c r="G71" t="inlineStr">
        <is>
          <t>KUNGSÖR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46218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2026-07-15T01:23:46Z</dcterms:created>
  <dcterms:modified xmlns:dcterms="http://purl.org/dc/terms/" xmlns:xsi="http://www.w3.org/2001/XMLSchema-instance" xsi:type="dcterms:W3CDTF">2026-07-15T01:23:46Z</dcterms:modified>
</cp:coreProperties>
</file>