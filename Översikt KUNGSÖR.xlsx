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45884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1043-2025</t>
        </is>
      </c>
      <c r="B7" s="1" t="n">
        <v>45666</v>
      </c>
      <c r="C7" s="1" t="n">
        <v>45884</v>
      </c>
      <c r="D7" t="inlineStr">
        <is>
          <t>VÄSTMANLANDS LÄN</t>
        </is>
      </c>
      <c r="E7" t="inlineStr">
        <is>
          <t>KUNGSÖR</t>
        </is>
      </c>
      <c r="G7" t="n">
        <v>2.5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HYPERLINK("https://klasma.github.io/Logging_1960/artfynd/A 1043-2025 artfynd.xlsx", "A 1043-2025")</f>
        <v/>
      </c>
      <c r="T7">
        <f>HYPERLINK("https://klasma.github.io/Logging_1960/kartor/A 1043-2025 karta.png", "A 1043-2025")</f>
        <v/>
      </c>
      <c r="U7">
        <f>HYPERLINK("https://klasma.github.io/Logging_1960/knärot/A 1043-2025 karta knärot.png", "A 1043-2025")</f>
        <v/>
      </c>
      <c r="V7">
        <f>HYPERLINK("https://klasma.github.io/Logging_1960/klagomål/A 1043-2025 FSC-klagomål.docx", "A 1043-2025")</f>
        <v/>
      </c>
      <c r="W7">
        <f>HYPERLINK("https://klasma.github.io/Logging_1960/klagomålsmail/A 1043-2025 FSC-klagomål mail.docx", "A 1043-2025")</f>
        <v/>
      </c>
      <c r="X7">
        <f>HYPERLINK("https://klasma.github.io/Logging_1960/tillsyn/A 1043-2025 tillsynsbegäran.docx", "A 1043-2025")</f>
        <v/>
      </c>
      <c r="Y7">
        <f>HYPERLINK("https://klasma.github.io/Logging_1960/tillsynsmail/A 1043-2025 tillsynsbegäran mail.docx", "A 1043-2025")</f>
        <v/>
      </c>
    </row>
    <row r="8" ht="15" customHeight="1">
      <c r="A8" t="inlineStr">
        <is>
          <t>A 31706-2025</t>
        </is>
      </c>
      <c r="B8" s="1" t="n">
        <v>45834</v>
      </c>
      <c r="C8" s="1" t="n">
        <v>45884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HYPERLINK("https://klasma.github.io/Logging_1960/artfynd/A 31706-2025 artfynd.xlsx", "A 31706-2025")</f>
        <v/>
      </c>
      <c r="T8">
        <f>HYPERLINK("https://klasma.github.io/Logging_1960/kartor/A 31706-2025 karta.png", "A 31706-2025")</f>
        <v/>
      </c>
      <c r="V8">
        <f>HYPERLINK("https://klasma.github.io/Logging_1960/klagomål/A 31706-2025 FSC-klagomål.docx", "A 31706-2025")</f>
        <v/>
      </c>
      <c r="W8">
        <f>HYPERLINK("https://klasma.github.io/Logging_1960/klagomålsmail/A 31706-2025 FSC-klagomål mail.docx", "A 31706-2025")</f>
        <v/>
      </c>
      <c r="X8">
        <f>HYPERLINK("https://klasma.github.io/Logging_1960/tillsyn/A 31706-2025 tillsynsbegäran.docx", "A 31706-2025")</f>
        <v/>
      </c>
      <c r="Y8">
        <f>HYPERLINK("https://klasma.github.io/Logging_1960/tillsynsmail/A 31706-2025 tillsynsbegäran mail.docx", "A 31706-2025")</f>
        <v/>
      </c>
      <c r="Z8">
        <f>HYPERLINK("https://klasma.github.io/Logging_1960/fåglar/A 31706-2025 prioriterade fågelarter.docx", "A 31706-2025")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45884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45884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45884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45884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45884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45884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45884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45884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45884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45884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58040-2020</t>
        </is>
      </c>
      <c r="B23" s="1" t="n">
        <v>44144</v>
      </c>
      <c r="C23" s="1" t="n">
        <v>45884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5952-2024</t>
        </is>
      </c>
      <c r="B24" s="1" t="n">
        <v>45335</v>
      </c>
      <c r="C24" s="1" t="n">
        <v>45884</v>
      </c>
      <c r="D24" t="inlineStr">
        <is>
          <t>VÄSTMANLANDS LÄN</t>
        </is>
      </c>
      <c r="E24" t="inlineStr">
        <is>
          <t>KUNGSÖR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26029-2022</t>
        </is>
      </c>
      <c r="B25" s="1" t="n">
        <v>44734</v>
      </c>
      <c r="C25" s="1" t="n">
        <v>45884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59612-2021</t>
        </is>
      </c>
      <c r="B26" s="1" t="n">
        <v>44491</v>
      </c>
      <c r="C26" s="1" t="n">
        <v>45884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45159-2021</t>
        </is>
      </c>
      <c r="B27" s="1" t="n">
        <v>44439</v>
      </c>
      <c r="C27" s="1" t="n">
        <v>45884</v>
      </c>
      <c r="D27" t="inlineStr">
        <is>
          <t>VÄSTMANLANDS LÄN</t>
        </is>
      </c>
      <c r="E27" t="inlineStr">
        <is>
          <t>KUNGSÖR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45884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61262-2024</t>
        </is>
      </c>
      <c r="B29" s="1" t="n">
        <v>45645</v>
      </c>
      <c r="C29" s="1" t="n">
        <v>45884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61264-2024</t>
        </is>
      </c>
      <c r="B30" s="1" t="n">
        <v>45645</v>
      </c>
      <c r="C30" s="1" t="n">
        <v>45884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41446-2023</t>
        </is>
      </c>
      <c r="B31" s="1" t="n">
        <v>45175</v>
      </c>
      <c r="C31" s="1" t="n">
        <v>45884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30621-2023</t>
        </is>
      </c>
      <c r="B32" s="1" t="n">
        <v>45112.42612268519</v>
      </c>
      <c r="C32" s="1" t="n">
        <v>45884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30623-2023</t>
        </is>
      </c>
      <c r="B33" s="1" t="n">
        <v>45112.4308912037</v>
      </c>
      <c r="C33" s="1" t="n">
        <v>45884</v>
      </c>
      <c r="D33" t="inlineStr">
        <is>
          <t>VÄSTMANLANDS LÄN</t>
        </is>
      </c>
      <c r="E33" t="inlineStr">
        <is>
          <t>KUNGSÖR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45884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39269-2023</t>
        </is>
      </c>
      <c r="B35" s="1" t="n">
        <v>45166.49605324074</v>
      </c>
      <c r="C35" s="1" t="n">
        <v>45884</v>
      </c>
      <c r="D35" t="inlineStr">
        <is>
          <t>VÄSTMANLANDS LÄN</t>
        </is>
      </c>
      <c r="E35" t="inlineStr">
        <is>
          <t>KUNGSÖR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45884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45884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45884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20197-2023</t>
        </is>
      </c>
      <c r="B39" s="1" t="n">
        <v>45055</v>
      </c>
      <c r="C39" s="1" t="n">
        <v>45884</v>
      </c>
      <c r="D39" t="inlineStr">
        <is>
          <t>VÄSTMANLANDS LÄN</t>
        </is>
      </c>
      <c r="E39" t="inlineStr">
        <is>
          <t>KUNGSÖR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45923-2020</t>
        </is>
      </c>
      <c r="B40" s="1" t="n">
        <v>44091</v>
      </c>
      <c r="C40" s="1" t="n">
        <v>45884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40607-2024</t>
        </is>
      </c>
      <c r="B41" s="1" t="n">
        <v>45556.70357638889</v>
      </c>
      <c r="C41" s="1" t="n">
        <v>45884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11771-2025</t>
        </is>
      </c>
      <c r="B42" s="1" t="n">
        <v>45727</v>
      </c>
      <c r="C42" s="1" t="n">
        <v>45884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44720-2021</t>
        </is>
      </c>
      <c r="B43" s="1" t="n">
        <v>44438</v>
      </c>
      <c r="C43" s="1" t="n">
        <v>45884</v>
      </c>
      <c r="D43" t="inlineStr">
        <is>
          <t>VÄSTMANLANDS LÄN</t>
        </is>
      </c>
      <c r="E43" t="inlineStr">
        <is>
          <t>KUNGSÖR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59609-2021</t>
        </is>
      </c>
      <c r="B44" s="1" t="n">
        <v>44491.69118055556</v>
      </c>
      <c r="C44" s="1" t="n">
        <v>45884</v>
      </c>
      <c r="D44" t="inlineStr">
        <is>
          <t>VÄSTMANLANDS LÄN</t>
        </is>
      </c>
      <c r="E44" t="inlineStr">
        <is>
          <t>KUNGSÖR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39717-2023</t>
        </is>
      </c>
      <c r="B45" s="1" t="n">
        <v>45167.62804398148</v>
      </c>
      <c r="C45" s="1" t="n">
        <v>45884</v>
      </c>
      <c r="D45" t="inlineStr">
        <is>
          <t>VÄSTMANLANDS LÄN</t>
        </is>
      </c>
      <c r="E45" t="inlineStr">
        <is>
          <t>KUNGSÖR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38308-2023</t>
        </is>
      </c>
      <c r="B46" s="1" t="n">
        <v>45161.66641203704</v>
      </c>
      <c r="C46" s="1" t="n">
        <v>45884</v>
      </c>
      <c r="D46" t="inlineStr">
        <is>
          <t>VÄSTMANLANDS LÄN</t>
        </is>
      </c>
      <c r="E46" t="inlineStr">
        <is>
          <t>KUNGSÖR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55003-2022</t>
        </is>
      </c>
      <c r="B47" s="1" t="n">
        <v>44886.51076388889</v>
      </c>
      <c r="C47" s="1" t="n">
        <v>45884</v>
      </c>
      <c r="D47" t="inlineStr">
        <is>
          <t>VÄSTMANLANDS LÄN</t>
        </is>
      </c>
      <c r="E47" t="inlineStr">
        <is>
          <t>KUNGSÖR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19266-2024</t>
        </is>
      </c>
      <c r="B48" s="1" t="n">
        <v>45428.62668981482</v>
      </c>
      <c r="C48" s="1" t="n">
        <v>45884</v>
      </c>
      <c r="D48" t="inlineStr">
        <is>
          <t>VÄSTMANLANDS LÄN</t>
        </is>
      </c>
      <c r="E48" t="inlineStr">
        <is>
          <t>KUNGSÖR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45884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45884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45884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3683-2023</t>
        </is>
      </c>
      <c r="B52" s="1" t="n">
        <v>44950</v>
      </c>
      <c r="C52" s="1" t="n">
        <v>45884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55072-2021</t>
        </is>
      </c>
      <c r="B53" s="1" t="n">
        <v>44474.64513888889</v>
      </c>
      <c r="C53" s="1" t="n">
        <v>45884</v>
      </c>
      <c r="D53" t="inlineStr">
        <is>
          <t>VÄSTMANLANDS LÄN</t>
        </is>
      </c>
      <c r="E53" t="inlineStr">
        <is>
          <t>KUNGSÖR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55079-2021</t>
        </is>
      </c>
      <c r="B54" s="1" t="n">
        <v>44474</v>
      </c>
      <c r="C54" s="1" t="n">
        <v>45884</v>
      </c>
      <c r="D54" t="inlineStr">
        <is>
          <t>VÄSTMANLANDS LÄN</t>
        </is>
      </c>
      <c r="E54" t="inlineStr">
        <is>
          <t>KUNGSÖR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45884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10516-2022</t>
        </is>
      </c>
      <c r="B56" s="1" t="n">
        <v>44623.71763888889</v>
      </c>
      <c r="C56" s="1" t="n">
        <v>45884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10517-2022</t>
        </is>
      </c>
      <c r="B57" s="1" t="n">
        <v>44623</v>
      </c>
      <c r="C57" s="1" t="n">
        <v>45884</v>
      </c>
      <c r="D57" t="inlineStr">
        <is>
          <t>VÄSTMANLANDS LÄN</t>
        </is>
      </c>
      <c r="E57" t="inlineStr">
        <is>
          <t>KUNGSÖR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44391.4878587963</v>
      </c>
      <c r="C58" s="1" t="n">
        <v>45884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50058-2021</t>
        </is>
      </c>
      <c r="B59" s="1" t="n">
        <v>44456.54690972222</v>
      </c>
      <c r="C59" s="1" t="n">
        <v>45884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19917-2025</t>
        </is>
      </c>
      <c r="B60" s="1" t="n">
        <v>45771</v>
      </c>
      <c r="C60" s="1" t="n">
        <v>45884</v>
      </c>
      <c r="D60" t="inlineStr">
        <is>
          <t>VÄSTMANLANDS LÄN</t>
        </is>
      </c>
      <c r="E60" t="inlineStr">
        <is>
          <t>KUNGSÖR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59853-2022</t>
        </is>
      </c>
      <c r="B61" s="1" t="n">
        <v>44908</v>
      </c>
      <c r="C61" s="1" t="n">
        <v>45884</v>
      </c>
      <c r="D61" t="inlineStr">
        <is>
          <t>VÄSTMANLANDS LÄN</t>
        </is>
      </c>
      <c r="E61" t="inlineStr">
        <is>
          <t>KUNGSÖR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8193-2023</t>
        </is>
      </c>
      <c r="B62" s="1" t="n">
        <v>44974</v>
      </c>
      <c r="C62" s="1" t="n">
        <v>45884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8228-2023</t>
        </is>
      </c>
      <c r="B63" s="1" t="n">
        <v>44974</v>
      </c>
      <c r="C63" s="1" t="n">
        <v>45884</v>
      </c>
      <c r="D63" t="inlineStr">
        <is>
          <t>VÄSTMANLANDS LÄN</t>
        </is>
      </c>
      <c r="E63" t="inlineStr">
        <is>
          <t>KUNGSÖR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31883-2022</t>
        </is>
      </c>
      <c r="B64" s="1" t="n">
        <v>44777</v>
      </c>
      <c r="C64" s="1" t="n">
        <v>45884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23574-2023</t>
        </is>
      </c>
      <c r="B65" s="1" t="n">
        <v>45077</v>
      </c>
      <c r="C65" s="1" t="n">
        <v>45884</v>
      </c>
      <c r="D65" t="inlineStr">
        <is>
          <t>VÄSTMANLANDS LÄN</t>
        </is>
      </c>
      <c r="E65" t="inlineStr">
        <is>
          <t>KUNGSÖR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6734-2022</t>
        </is>
      </c>
      <c r="B66" s="1" t="n">
        <v>44602.46284722222</v>
      </c>
      <c r="C66" s="1" t="n">
        <v>45884</v>
      </c>
      <c r="D66" t="inlineStr">
        <is>
          <t>VÄSTMANLANDS LÄN</t>
        </is>
      </c>
      <c r="E66" t="inlineStr">
        <is>
          <t>KUNGSÖR</t>
        </is>
      </c>
      <c r="G66" t="n">
        <v>32.3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26382-2023</t>
        </is>
      </c>
      <c r="B67" s="1" t="n">
        <v>45092</v>
      </c>
      <c r="C67" s="1" t="n">
        <v>45884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30634-2023</t>
        </is>
      </c>
      <c r="B68" s="1" t="n">
        <v>45112.45543981482</v>
      </c>
      <c r="C68" s="1" t="n">
        <v>45884</v>
      </c>
      <c r="D68" t="inlineStr">
        <is>
          <t>VÄSTMANLANDS LÄN</t>
        </is>
      </c>
      <c r="E68" t="inlineStr">
        <is>
          <t>KUNGSÖR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41654-2020</t>
        </is>
      </c>
      <c r="B69" s="1" t="n">
        <v>44074</v>
      </c>
      <c r="C69" s="1" t="n">
        <v>45884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52795-2023</t>
        </is>
      </c>
      <c r="B70" s="1" t="n">
        <v>45226.35605324074</v>
      </c>
      <c r="C70" s="1" t="n">
        <v>45884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60736-2024</t>
        </is>
      </c>
      <c r="B71" s="1" t="n">
        <v>45644</v>
      </c>
      <c r="C71" s="1" t="n">
        <v>45884</v>
      </c>
      <c r="D71" t="inlineStr">
        <is>
          <t>VÄSTMANLANDS LÄN</t>
        </is>
      </c>
      <c r="E71" t="inlineStr">
        <is>
          <t>KUNGSÖR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45884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19420-2024</t>
        </is>
      </c>
      <c r="B73" s="1" t="n">
        <v>45429.42680555556</v>
      </c>
      <c r="C73" s="1" t="n">
        <v>45884</v>
      </c>
      <c r="D73" t="inlineStr">
        <is>
          <t>VÄSTMANLANDS LÄN</t>
        </is>
      </c>
      <c r="E73" t="inlineStr">
        <is>
          <t>KUNGSÖR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60754-2024</t>
        </is>
      </c>
      <c r="B74" s="1" t="n">
        <v>45644</v>
      </c>
      <c r="C74" s="1" t="n">
        <v>45884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24023-2025</t>
        </is>
      </c>
      <c r="B75" s="1" t="n">
        <v>45796</v>
      </c>
      <c r="C75" s="1" t="n">
        <v>45884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16735-2023</t>
        </is>
      </c>
      <c r="B76" s="1" t="n">
        <v>45030.71976851852</v>
      </c>
      <c r="C76" s="1" t="n">
        <v>45884</v>
      </c>
      <c r="D76" t="inlineStr">
        <is>
          <t>VÄSTMANLANDS LÄN</t>
        </is>
      </c>
      <c r="E76" t="inlineStr">
        <is>
          <t>KUNGSÖR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19082-2023</t>
        </is>
      </c>
      <c r="B77" s="1" t="n">
        <v>45048</v>
      </c>
      <c r="C77" s="1" t="n">
        <v>45884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38938-2021</t>
        </is>
      </c>
      <c r="B78" s="1" t="n">
        <v>44411.63415509259</v>
      </c>
      <c r="C78" s="1" t="n">
        <v>45884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1040-2025</t>
        </is>
      </c>
      <c r="B79" s="1" t="n">
        <v>45666.54564814815</v>
      </c>
      <c r="C79" s="1" t="n">
        <v>45884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33022-2025</t>
        </is>
      </c>
      <c r="B80" s="1" t="n">
        <v>45840</v>
      </c>
      <c r="C80" s="1" t="n">
        <v>45884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33034-2025</t>
        </is>
      </c>
      <c r="B81" s="1" t="n">
        <v>45840</v>
      </c>
      <c r="C81" s="1" t="n">
        <v>45884</v>
      </c>
      <c r="D81" t="inlineStr">
        <is>
          <t>VÄSTMANLANDS LÄN</t>
        </is>
      </c>
      <c r="E81" t="inlineStr">
        <is>
          <t>KUNGSÖR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33035-2025</t>
        </is>
      </c>
      <c r="B82" s="1" t="n">
        <v>45840</v>
      </c>
      <c r="C82" s="1" t="n">
        <v>45884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2025-08-15T08:29:42Z</dcterms:created>
  <dcterms:modified xmlns:dcterms="http://purl.org/dc/terms/" xmlns:xsi="http://www.w3.org/2001/XMLSchema-instance" xsi:type="dcterms:W3CDTF">2025-08-15T08:29:42Z</dcterms:modified>
</cp:coreProperties>
</file>