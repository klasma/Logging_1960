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V2">
        <f>HYPERLINK("https://klasma.github.io/Logging_1960/artfynd/A 9320-2025 artfynd.xlsx", "A 9320-2025")</f>
        <v/>
      </c>
      <c r="W2">
        <f>HYPERLINK("https://klasma.github.io/Logging_1960/kartor/A 9320-2025 karta.png", "A 9320-2025")</f>
        <v/>
      </c>
      <c r="X2">
        <f>HYPERLINK("https://klasma.github.io/Logging_1960/knärot/A 9320-2025 karta knärot.png", "A 9320-2025")</f>
        <v/>
      </c>
      <c r="Y2">
        <f>HYPERLINK("https://klasma.github.io/Logging_1960/klagomål/A 9320-2025 FSC-klagomål.docx", "A 9320-2025")</f>
        <v/>
      </c>
      <c r="Z2">
        <f>HYPERLINK("https://klasma.github.io/Logging_1960/klagomålsmail/A 9320-2025 FSC-klagomål mail.docx", "A 9320-2025")</f>
        <v/>
      </c>
      <c r="AA2">
        <f>HYPERLINK("https://klasma.github.io/Logging_1960/tillsyn/A 9320-2025 tillsynsbegäran.docx", "A 9320-2025")</f>
        <v/>
      </c>
      <c r="AB2">
        <f>HYPERLINK("https://klasma.github.io/Logging_1960/tillsynsmail/A 9320-2025 tillsynsbegäran mail.docx", "A 9320-2025")</f>
        <v/>
      </c>
      <c r="AC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s="2" t="inlineStr">
        <is>
          <t>Knärot
Talltita
Ullticka
Brandticka
Grönpyrola
Vedticka
Spillkråka
Revlummer</t>
        </is>
      </c>
      <c r="V3">
        <f>HYPERLINK("https://klasma.github.io/Logging_1960/artfynd/A 8475-2025 artfynd.xlsx", "A 8475-2025")</f>
        <v/>
      </c>
      <c r="W3">
        <f>HYPERLINK("https://klasma.github.io/Logging_1960/kartor/A 8475-2025 karta.png", "A 8475-2025")</f>
        <v/>
      </c>
      <c r="X3">
        <f>HYPERLINK("https://klasma.github.io/Logging_1960/knärot/A 8475-2025 karta knärot.png", "A 8475-2025")</f>
        <v/>
      </c>
      <c r="Y3">
        <f>HYPERLINK("https://klasma.github.io/Logging_1960/klagomål/A 8475-2025 FSC-klagomål.docx", "A 8475-2025")</f>
        <v/>
      </c>
      <c r="Z3">
        <f>HYPERLINK("https://klasma.github.io/Logging_1960/klagomålsmail/A 8475-2025 FSC-klagomål mail.docx", "A 8475-2025")</f>
        <v/>
      </c>
      <c r="AA3">
        <f>HYPERLINK("https://klasma.github.io/Logging_1960/tillsyn/A 8475-2025 tillsynsbegäran.docx", "A 8475-2025")</f>
        <v/>
      </c>
      <c r="AB3">
        <f>HYPERLINK("https://klasma.github.io/Logging_1960/tillsynsmail/A 8475-2025 tillsynsbegäran mail.docx", "A 8475-2025")</f>
        <v/>
      </c>
      <c r="AC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46221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s="2" t="inlineStr">
        <is>
          <t>Ekticka
Ullticka
Brun nållav
Fällmossa
Hasselticka
Lönnlav
Rostfläck</t>
        </is>
      </c>
      <c r="V4">
        <f>HYPERLINK("https://klasma.github.io/Logging_1960/artfynd/A 59332-2022 artfynd.xlsx", "A 59332-2022")</f>
        <v/>
      </c>
      <c r="W4">
        <f>HYPERLINK("https://klasma.github.io/Logging_1960/kartor/A 59332-2022 karta.png", "A 59332-2022")</f>
        <v/>
      </c>
      <c r="Y4">
        <f>HYPERLINK("https://klasma.github.io/Logging_1960/klagomål/A 59332-2022 FSC-klagomål.docx", "A 59332-2022")</f>
        <v/>
      </c>
      <c r="Z4">
        <f>HYPERLINK("https://klasma.github.io/Logging_1960/klagomålsmail/A 59332-2022 FSC-klagomål mail.docx", "A 59332-2022")</f>
        <v/>
      </c>
      <c r="AA4">
        <f>HYPERLINK("https://klasma.github.io/Logging_1960/tillsyn/A 59332-2022 tillsynsbegäran.docx", "A 59332-2022")</f>
        <v/>
      </c>
      <c r="AB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46221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Tofsvipa
Tornseglare
Gulsparv
Sädesärla
Buskskvätta
Kråka</t>
        </is>
      </c>
      <c r="V5">
        <f>HYPERLINK("https://klasma.github.io/Logging_1960/artfynd/A 60736-2024 artfynd.xlsx", "A 60736-2024")</f>
        <v/>
      </c>
      <c r="W5">
        <f>HYPERLINK("https://klasma.github.io/Logging_1960/kartor/A 60736-2024 karta.png", "A 60736-2024")</f>
        <v/>
      </c>
      <c r="Y5">
        <f>HYPERLINK("https://klasma.github.io/Logging_1960/klagomål/A 60736-2024 FSC-klagomål.docx", "A 60736-2024")</f>
        <v/>
      </c>
      <c r="Z5">
        <f>HYPERLINK("https://klasma.github.io/Logging_1960/klagomålsmail/A 60736-2024 FSC-klagomål mail.docx", "A 60736-2024")</f>
        <v/>
      </c>
      <c r="AA5">
        <f>HYPERLINK("https://klasma.github.io/Logging_1960/tillsyn/A 60736-2024 tillsynsbegäran.docx", "A 60736-2024")</f>
        <v/>
      </c>
      <c r="AB5">
        <f>HYPERLINK("https://klasma.github.io/Logging_1960/tillsynsmail/A 60736-2024 tillsynsbegäran mail.docx", "A 60736-2024")</f>
        <v/>
      </c>
      <c r="AC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46221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s="2" t="inlineStr">
        <is>
          <t>Blekticka
Ullticka
Hasselticka
Blåsippa
Spillkråka</t>
        </is>
      </c>
      <c r="V6">
        <f>HYPERLINK("https://klasma.github.io/Logging_1960/artfynd/A 7771-2024 artfynd.xlsx", "A 7771-2024")</f>
        <v/>
      </c>
      <c r="W6">
        <f>HYPERLINK("https://klasma.github.io/Logging_1960/kartor/A 7771-2024 karta.png", "A 7771-2024")</f>
        <v/>
      </c>
      <c r="Y6">
        <f>HYPERLINK("https://klasma.github.io/Logging_1960/klagomål/A 7771-2024 FSC-klagomål.docx", "A 7771-2024")</f>
        <v/>
      </c>
      <c r="Z6">
        <f>HYPERLINK("https://klasma.github.io/Logging_1960/klagomålsmail/A 7771-2024 FSC-klagomål mail.docx", "A 7771-2024")</f>
        <v/>
      </c>
      <c r="AA6">
        <f>HYPERLINK("https://klasma.github.io/Logging_1960/tillsyn/A 7771-2024 tillsynsbegäran.docx", "A 7771-2024")</f>
        <v/>
      </c>
      <c r="AB6">
        <f>HYPERLINK("https://klasma.github.io/Logging_1960/tillsynsmail/A 7771-2024 tillsynsbegäran mail.docx", "A 7771-2024")</f>
        <v/>
      </c>
      <c r="AC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46221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Talltita
Björksplintborre
Kungsfågel</t>
        </is>
      </c>
      <c r="V7">
        <f>HYPERLINK("https://klasma.github.io/Logging_1960/artfynd/A 2850-2026 artfynd.xlsx", "A 2850-2026")</f>
        <v/>
      </c>
      <c r="W7">
        <f>HYPERLINK("https://klasma.github.io/Logging_1960/kartor/A 2850-2026 karta.png", "A 2850-2026")</f>
        <v/>
      </c>
      <c r="Y7">
        <f>HYPERLINK("https://klasma.github.io/Logging_1960/klagomål/A 2850-2026 FSC-klagomål.docx", "A 2850-2026")</f>
        <v/>
      </c>
      <c r="Z7">
        <f>HYPERLINK("https://klasma.github.io/Logging_1960/klagomålsmail/A 2850-2026 FSC-klagomål mail.docx", "A 2850-2026")</f>
        <v/>
      </c>
      <c r="AA7">
        <f>HYPERLINK("https://klasma.github.io/Logging_1960/tillsyn/A 2850-2026 tillsynsbegäran.docx", "A 2850-2026")</f>
        <v/>
      </c>
      <c r="AB7">
        <f>HYPERLINK("https://klasma.github.io/Logging_1960/tillsynsmail/A 2850-2026 tillsynsbegäran mail.docx", "A 2850-2026")</f>
        <v/>
      </c>
      <c r="AC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46221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s="2" t="inlineStr">
        <is>
          <t>Knärot</t>
        </is>
      </c>
      <c r="V8">
        <f>HYPERLINK("https://klasma.github.io/Logging_1960/artfynd/A 25961-2026 artfynd.xlsx", "A 25961-2026")</f>
        <v/>
      </c>
      <c r="W8">
        <f>HYPERLINK("https://klasma.github.io/Logging_1960/kartor/A 25961-2026 karta.png", "A 25961-2026")</f>
        <v/>
      </c>
      <c r="X8">
        <f>HYPERLINK("https://klasma.github.io/Logging_1960/knärot/A 25961-2026 karta knärot.png", "A 25961-2026")</f>
        <v/>
      </c>
      <c r="Y8">
        <f>HYPERLINK("https://klasma.github.io/Logging_1960/klagomål/A 25961-2026 FSC-klagomål.docx", "A 25961-2026")</f>
        <v/>
      </c>
      <c r="Z8">
        <f>HYPERLINK("https://klasma.github.io/Logging_1960/klagomålsmail/A 25961-2026 FSC-klagomål mail.docx", "A 25961-2026")</f>
        <v/>
      </c>
      <c r="AA8">
        <f>HYPERLINK("https://klasma.github.io/Logging_1960/tillsyn/A 25961-2026 tillsynsbegäran.docx", "A 25961-2026")</f>
        <v/>
      </c>
      <c r="AB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46221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Blåsippa</t>
        </is>
      </c>
      <c r="V9">
        <f>HYPERLINK("https://klasma.github.io/Logging_1960/artfynd/A 53870-2022 artfynd.xlsx", "A 53870-2022")</f>
        <v/>
      </c>
      <c r="W9">
        <f>HYPERLINK("https://klasma.github.io/Logging_1960/kartor/A 53870-2022 karta.png", "A 53870-2022")</f>
        <v/>
      </c>
      <c r="Y9">
        <f>HYPERLINK("https://klasma.github.io/Logging_1960/klagomål/A 53870-2022 FSC-klagomål.docx", "A 53870-2022")</f>
        <v/>
      </c>
      <c r="Z9">
        <f>HYPERLINK("https://klasma.github.io/Logging_1960/klagomålsmail/A 53870-2022 FSC-klagomål mail.docx", "A 53870-2022")</f>
        <v/>
      </c>
      <c r="AA9">
        <f>HYPERLINK("https://klasma.github.io/Logging_1960/tillsyn/A 53870-2022 tillsynsbegäran.docx", "A 53870-2022")</f>
        <v/>
      </c>
      <c r="AB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46221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46221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46221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46221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46221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46221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46221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46221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46221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46221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46221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46221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38938-2021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44411</v>
      </c>
      <c r="E22" s="1" t="n">
        <v>46221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46221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46221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46221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46221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59853-2022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46221</v>
      </c>
      <c r="F27" t="inlineStr">
        <is>
          <t>VÄSTMANLANDS LÄN</t>
        </is>
      </c>
      <c r="G27" t="inlineStr">
        <is>
          <t>KUNGSÖR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46221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44950</v>
      </c>
      <c r="E29" s="1" t="n">
        <v>46221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23574-2023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46221</v>
      </c>
      <c r="F30" t="inlineStr">
        <is>
          <t>VÄSTMANLANDS LÄN</t>
        </is>
      </c>
      <c r="G30" t="inlineStr">
        <is>
          <t>KUNGSÖR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41446-2023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45175</v>
      </c>
      <c r="E31" s="1" t="n">
        <v>46221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46221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26382-2023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46221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59615-2021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46221</v>
      </c>
      <c r="F34" t="inlineStr">
        <is>
          <t>VÄSTMANLANDS LÄN</t>
        </is>
      </c>
      <c r="G34" t="inlineStr">
        <is>
          <t>KUNGSÖR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10298-2026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46221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59615-2021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46221</v>
      </c>
      <c r="F36" t="inlineStr">
        <is>
          <t>VÄSTMANLANDS LÄN</t>
        </is>
      </c>
      <c r="G36" t="inlineStr">
        <is>
          <t>KUNGSÖR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11771-2025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45727</v>
      </c>
      <c r="E37" s="1" t="n">
        <v>46221</v>
      </c>
      <c r="F37" t="inlineStr">
        <is>
          <t>VÄSTMANLANDS LÄN</t>
        </is>
      </c>
      <c r="G37" t="inlineStr">
        <is>
          <t>KUNGSÖR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52809-2022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46221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46221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44575</v>
      </c>
      <c r="E40" s="1" t="n">
        <v>46221</v>
      </c>
      <c r="F40" t="inlineStr">
        <is>
          <t>VÄSTMANLANDS LÄN</t>
        </is>
      </c>
      <c r="G40" t="inlineStr">
        <is>
          <t>KUNGSÖR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39269-2023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45166</v>
      </c>
      <c r="E41" s="1" t="n">
        <v>46221</v>
      </c>
      <c r="F41" t="inlineStr">
        <is>
          <t>VÄSTMANLANDS LÄN</t>
        </is>
      </c>
      <c r="G41" t="inlineStr">
        <is>
          <t>KUNGSÖR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59612-2021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44491</v>
      </c>
      <c r="E42" s="1" t="n">
        <v>46221</v>
      </c>
      <c r="F42" t="inlineStr">
        <is>
          <t>VÄSTMANLANDS LÄN</t>
        </is>
      </c>
      <c r="G42" t="inlineStr">
        <is>
          <t>KUNGSÖR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61260-2025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46221</v>
      </c>
      <c r="F43" t="inlineStr">
        <is>
          <t>VÄSTMANLANDS LÄN</t>
        </is>
      </c>
      <c r="G43" t="inlineStr">
        <is>
          <t>KUNGSÖR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19266-2024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46221</v>
      </c>
      <c r="F44" t="inlineStr">
        <is>
          <t>VÄSTMANLANDS LÄN</t>
        </is>
      </c>
      <c r="G44" t="inlineStr">
        <is>
          <t>KUNGSÖR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46221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10516-2022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46221</v>
      </c>
      <c r="F46" t="inlineStr">
        <is>
          <t>VÄSTMANLANDS LÄN</t>
        </is>
      </c>
      <c r="G46" t="inlineStr">
        <is>
          <t>KUNGSÖR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46221</v>
      </c>
      <c r="F47" t="inlineStr">
        <is>
          <t>VÄSTMANLANDS LÄN</t>
        </is>
      </c>
      <c r="G47" t="inlineStr">
        <is>
          <t>KUNGSÖR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39717-2023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46221</v>
      </c>
      <c r="F48" t="inlineStr">
        <is>
          <t>VÄSTMANLANDS LÄN</t>
        </is>
      </c>
      <c r="G48" t="inlineStr">
        <is>
          <t>KUNGSÖR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26274-2026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46221</v>
      </c>
      <c r="F49" t="inlineStr">
        <is>
          <t>VÄSTMANLANDS LÄN</t>
        </is>
      </c>
      <c r="G49" t="inlineStr">
        <is>
          <t>KUNGSÖR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33022-2025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45840</v>
      </c>
      <c r="E50" s="1" t="n">
        <v>46221</v>
      </c>
      <c r="F50" t="inlineStr">
        <is>
          <t>VÄSTMANLANDS LÄN</t>
        </is>
      </c>
      <c r="G50" t="inlineStr">
        <is>
          <t>KUNGSÖR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46221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46221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46221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46221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40607-2024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45556</v>
      </c>
      <c r="E55" s="1" t="n">
        <v>46221</v>
      </c>
      <c r="F55" t="inlineStr">
        <is>
          <t>VÄSTMANLANDS LÄN</t>
        </is>
      </c>
      <c r="G55" t="inlineStr">
        <is>
          <t>KUNGSÖR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59805-2024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46221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46221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46221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46221</v>
      </c>
      <c r="F59" t="inlineStr">
        <is>
          <t>VÄSTMANLANDS LÄN</t>
        </is>
      </c>
      <c r="G59" t="inlineStr">
        <is>
          <t>KUNGSÖR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47123-2024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46221</v>
      </c>
      <c r="F60" t="inlineStr">
        <is>
          <t>VÄSTMANLANDS LÄN</t>
        </is>
      </c>
      <c r="G60" t="inlineStr">
        <is>
          <t>KUNGSÖR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38308-2023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46221</v>
      </c>
      <c r="F61" t="inlineStr">
        <is>
          <t>VÄSTMANLANDS LÄN</t>
        </is>
      </c>
      <c r="G61" t="inlineStr">
        <is>
          <t>KUNGSÖR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50058-2021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46221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26029-2022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46221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9.699999999999999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46221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44720-2021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44438</v>
      </c>
      <c r="E65" s="1" t="n">
        <v>46221</v>
      </c>
      <c r="F65" t="inlineStr">
        <is>
          <t>VÄSTMANLANDS LÄN</t>
        </is>
      </c>
      <c r="G65" t="inlineStr">
        <is>
          <t>KUNGSÖR</t>
        </is>
      </c>
      <c r="I65" t="n">
        <v>11.4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46221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24023-2025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46221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46221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46221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46221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2026-07-18T01:23:57Z</dcterms:created>
  <dcterms:modified xmlns:dcterms="http://purl.org/dc/terms/" xmlns:xsi="http://www.w3.org/2001/XMLSchema-instance" xsi:type="dcterms:W3CDTF">2026-07-18T01:23:57Z</dcterms:modified>
</cp:coreProperties>
</file>