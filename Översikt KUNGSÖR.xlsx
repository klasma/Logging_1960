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46289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46289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46289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46289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46289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46289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46289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46289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25961-2026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46181</v>
      </c>
      <c r="E10" s="1" t="n">
        <v>46289</v>
      </c>
      <c r="F10" t="inlineStr">
        <is>
          <t>VÄSTMANLANDS LÄN</t>
        </is>
      </c>
      <c r="G10" t="inlineStr">
        <is>
          <t>KUNGSÖR</t>
        </is>
      </c>
      <c r="I10" t="n">
        <v>7.3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HYPERLINK("https://klasma.github.io/Logging_1960/artfynd/A 25961-2026 artfynd.xlsx", "A 25961-2026")</f>
        <v/>
      </c>
      <c r="X10">
        <f>HYPERLINK("https://klasma.github.io/Logging_1960/kartor/A 25961-2026 karta.png", "A 25961-2026")</f>
        <v/>
      </c>
      <c r="Y10">
        <f>HYPERLINK("https://klasma.github.io/Logging_1960/kartor_geotiff/A 25961-2026 georefererad karta.tif", "A 25961-2026")</f>
        <v/>
      </c>
      <c r="Z10">
        <f>HYPERLINK("https://klasma.github.io/Logging_1960/knärot/A 25961-2026 karta knärot.png", "A 25961-2026")</f>
        <v/>
      </c>
      <c r="AA10">
        <f>HYPERLINK("https://klasma.github.io/Logging_1960/klagomål/A 25961-2026 FSC-klagomål.docx", "A 25961-2026")</f>
        <v/>
      </c>
      <c r="AB10">
        <f>HYPERLINK("https://klasma.github.io/Logging_1960/klagomålsmail/A 25961-2026 FSC-klagomål mail.docx", "A 25961-2026")</f>
        <v/>
      </c>
      <c r="AC10">
        <f>HYPERLINK("https://klasma.github.io/Logging_1960/tillsyn/A 25961-2026 tillsynsbegäran.docx", "A 25961-2026")</f>
        <v/>
      </c>
      <c r="AD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46289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46289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46289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54188-2021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44470</v>
      </c>
      <c r="E14" s="1" t="n">
        <v>46289</v>
      </c>
      <c r="F14" t="inlineStr">
        <is>
          <t>VÄSTMANLANDS LÄN</t>
        </is>
      </c>
      <c r="G14" t="inlineStr">
        <is>
          <t>KUNGSÖR</t>
        </is>
      </c>
      <c r="I14" t="n">
        <v>6.5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72700-2021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44545</v>
      </c>
      <c r="E15" s="1" t="n">
        <v>46289</v>
      </c>
      <c r="F15" t="inlineStr">
        <is>
          <t>VÄSTMANLANDS LÄN</t>
        </is>
      </c>
      <c r="G15" t="inlineStr">
        <is>
          <t>KUNGSÖR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6319-2022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44600</v>
      </c>
      <c r="E16" s="1" t="n">
        <v>46289</v>
      </c>
      <c r="F16" t="inlineStr">
        <is>
          <t>VÄSTMANLANDS LÄN</t>
        </is>
      </c>
      <c r="G16" t="inlineStr">
        <is>
          <t>KUNGSÖR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9813-2022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44620</v>
      </c>
      <c r="E17" s="1" t="n">
        <v>46289</v>
      </c>
      <c r="F17" t="inlineStr">
        <is>
          <t>VÄSTMANLANDS LÄN</t>
        </is>
      </c>
      <c r="G17" t="inlineStr">
        <is>
          <t>KUNGSÖR</t>
        </is>
      </c>
      <c r="I17" t="n">
        <v>4.3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19082-2023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45048</v>
      </c>
      <c r="E18" s="1" t="n">
        <v>46289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6.5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59615-2021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44491</v>
      </c>
      <c r="E19" s="1" t="n">
        <v>46289</v>
      </c>
      <c r="F19" t="inlineStr">
        <is>
          <t>VÄSTMANLANDS LÄN</t>
        </is>
      </c>
      <c r="G19" t="inlineStr">
        <is>
          <t>KUNGSÖR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40815-2022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46289</v>
      </c>
      <c r="F20" t="inlineStr">
        <is>
          <t>VÄSTMANLANDS LÄN</t>
        </is>
      </c>
      <c r="G20" t="inlineStr">
        <is>
          <t>KUNGSÖR</t>
        </is>
      </c>
      <c r="I20" t="n">
        <v>15.9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59615-2021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44491</v>
      </c>
      <c r="E21" s="1" t="n">
        <v>46289</v>
      </c>
      <c r="F21" t="inlineStr">
        <is>
          <t>VÄSTMANLANDS LÄN</t>
        </is>
      </c>
      <c r="G21" t="inlineStr">
        <is>
          <t>KUNGSÖR</t>
        </is>
      </c>
      <c r="I21" t="n">
        <v>6.8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24023-2025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45796</v>
      </c>
      <c r="E22" s="1" t="n">
        <v>46289</v>
      </c>
      <c r="F22" t="inlineStr">
        <is>
          <t>VÄSTMANLANDS LÄN</t>
        </is>
      </c>
      <c r="G22" t="inlineStr">
        <is>
          <t>KUNGSÖR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19420-2024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45429</v>
      </c>
      <c r="E23" s="1" t="n">
        <v>46289</v>
      </c>
      <c r="F23" t="inlineStr">
        <is>
          <t>VÄSTMANLANDS LÄN</t>
        </is>
      </c>
      <c r="G23" t="inlineStr">
        <is>
          <t>KUNGSÖR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60754-2024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45644</v>
      </c>
      <c r="E24" s="1" t="n">
        <v>46289</v>
      </c>
      <c r="F24" t="inlineStr">
        <is>
          <t>VÄSTMANLANDS LÄN</t>
        </is>
      </c>
      <c r="G24" t="inlineStr">
        <is>
          <t>KUNGSÖR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55072-2021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44474</v>
      </c>
      <c r="E25" s="1" t="n">
        <v>46289</v>
      </c>
      <c r="F25" t="inlineStr">
        <is>
          <t>VÄSTMANLANDS LÄN</t>
        </is>
      </c>
      <c r="G25" t="inlineStr">
        <is>
          <t>KUNGSÖR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11771-2025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45727</v>
      </c>
      <c r="E26" s="1" t="n">
        <v>46289</v>
      </c>
      <c r="F26" t="inlineStr">
        <is>
          <t>VÄSTMANLANDS LÄN</t>
        </is>
      </c>
      <c r="G26" t="inlineStr">
        <is>
          <t>KUNGSÖR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52795-2023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45226</v>
      </c>
      <c r="E27" s="1" t="n">
        <v>46289</v>
      </c>
      <c r="F27" t="inlineStr">
        <is>
          <t>VÄSTMANLANDS LÄN</t>
        </is>
      </c>
      <c r="G27" t="inlineStr">
        <is>
          <t>KUNGSÖR</t>
        </is>
      </c>
      <c r="I27" t="n">
        <v>3.7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52809-2022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44875</v>
      </c>
      <c r="E28" s="1" t="n">
        <v>46289</v>
      </c>
      <c r="F28" t="inlineStr">
        <is>
          <t>VÄSTMANLANDS LÄN</t>
        </is>
      </c>
      <c r="G28" t="inlineStr">
        <is>
          <t>KUNGSÖR</t>
        </is>
      </c>
      <c r="H28" t="inlineStr">
        <is>
          <t>Allmännings- och besparingsskogar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16735-2023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45030</v>
      </c>
      <c r="E29" s="1" t="n">
        <v>46289</v>
      </c>
      <c r="F29" t="inlineStr">
        <is>
          <t>VÄSTMANLANDS LÄN</t>
        </is>
      </c>
      <c r="G29" t="inlineStr">
        <is>
          <t>KUNGSÖR</t>
        </is>
      </c>
      <c r="I29" t="n">
        <v>8.699999999999999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52802-2022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44875</v>
      </c>
      <c r="E30" s="1" t="n">
        <v>46289</v>
      </c>
      <c r="F30" t="inlineStr">
        <is>
          <t>VÄSTMANLANDS LÄN</t>
        </is>
      </c>
      <c r="G30" t="inlineStr">
        <is>
          <t>KUNGSÖR</t>
        </is>
      </c>
      <c r="H30" t="inlineStr">
        <is>
          <t>Allmännings- och besparingsskogar</t>
        </is>
      </c>
      <c r="I30" t="n">
        <v>5.8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6734-2022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46289</v>
      </c>
      <c r="F31" t="inlineStr">
        <is>
          <t>VÄSTMANLANDS LÄN</t>
        </is>
      </c>
      <c r="G31" t="inlineStr">
        <is>
          <t>KUNGSÖR</t>
        </is>
      </c>
      <c r="I31" t="n">
        <v>32.3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1906-2022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44575</v>
      </c>
      <c r="E32" s="1" t="n">
        <v>46289</v>
      </c>
      <c r="F32" t="inlineStr">
        <is>
          <t>VÄSTMANLANDS LÄN</t>
        </is>
      </c>
      <c r="G32" t="inlineStr">
        <is>
          <t>KUNGSÖR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30621-2023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45112</v>
      </c>
      <c r="E33" s="1" t="n">
        <v>46289</v>
      </c>
      <c r="F33" t="inlineStr">
        <is>
          <t>VÄSTMANLANDS LÄN</t>
        </is>
      </c>
      <c r="G33" t="inlineStr">
        <is>
          <t>KUNGSÖR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30623-2023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45112</v>
      </c>
      <c r="E34" s="1" t="n">
        <v>46289</v>
      </c>
      <c r="F34" t="inlineStr">
        <is>
          <t>VÄSTMANLANDS LÄN</t>
        </is>
      </c>
      <c r="G34" t="inlineStr">
        <is>
          <t>KUNGSÖR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59853-2022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44908</v>
      </c>
      <c r="E35" s="1" t="n">
        <v>46289</v>
      </c>
      <c r="F35" t="inlineStr">
        <is>
          <t>VÄSTMANLANDS LÄN</t>
        </is>
      </c>
      <c r="G35" t="inlineStr">
        <is>
          <t>KUNGSÖR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39269-2023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45166</v>
      </c>
      <c r="E36" s="1" t="n">
        <v>46289</v>
      </c>
      <c r="F36" t="inlineStr">
        <is>
          <t>VÄSTMANLANDS LÄN</t>
        </is>
      </c>
      <c r="G36" t="inlineStr">
        <is>
          <t>KUNGSÖR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59612-2021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46289</v>
      </c>
      <c r="F37" t="inlineStr">
        <is>
          <t>VÄSTMANLANDS LÄN</t>
        </is>
      </c>
      <c r="G37" t="inlineStr">
        <is>
          <t>KUNGSÖR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3683-2023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44950</v>
      </c>
      <c r="E38" s="1" t="n">
        <v>46289</v>
      </c>
      <c r="F38" t="inlineStr">
        <is>
          <t>VÄSTMANLANDS LÄN</t>
        </is>
      </c>
      <c r="G38" t="inlineStr">
        <is>
          <t>KUNGSÖR</t>
        </is>
      </c>
      <c r="H38" t="inlineStr">
        <is>
          <t>Allmännings- och besparingsskogar</t>
        </is>
      </c>
      <c r="I38" t="n">
        <v>6.3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19266-2024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45428</v>
      </c>
      <c r="E39" s="1" t="n">
        <v>46289</v>
      </c>
      <c r="F39" t="inlineStr">
        <is>
          <t>VÄSTMANLANDS LÄN</t>
        </is>
      </c>
      <c r="G39" t="inlineStr">
        <is>
          <t>KUNGSÖR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23574-2023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45077</v>
      </c>
      <c r="E40" s="1" t="n">
        <v>46289</v>
      </c>
      <c r="F40" t="inlineStr">
        <is>
          <t>VÄSTMANLANDS LÄN</t>
        </is>
      </c>
      <c r="G40" t="inlineStr">
        <is>
          <t>KUNGSÖR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10516-2022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44623</v>
      </c>
      <c r="E41" s="1" t="n">
        <v>46289</v>
      </c>
      <c r="F41" t="inlineStr">
        <is>
          <t>VÄSTMANLANDS LÄN</t>
        </is>
      </c>
      <c r="G41" t="inlineStr">
        <is>
          <t>KUNGSÖR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10517-2022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44623</v>
      </c>
      <c r="E42" s="1" t="n">
        <v>46289</v>
      </c>
      <c r="F42" t="inlineStr">
        <is>
          <t>VÄSTMANLANDS LÄN</t>
        </is>
      </c>
      <c r="G42" t="inlineStr">
        <is>
          <t>KUNGSÖR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39717-2023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45167</v>
      </c>
      <c r="E43" s="1" t="n">
        <v>46289</v>
      </c>
      <c r="F43" t="inlineStr">
        <is>
          <t>VÄSTMANLANDS LÄN</t>
        </is>
      </c>
      <c r="G43" t="inlineStr">
        <is>
          <t>KUNGSÖR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41446-2023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45175</v>
      </c>
      <c r="E44" s="1" t="n">
        <v>46289</v>
      </c>
      <c r="F44" t="inlineStr">
        <is>
          <t>VÄSTMANLANDS LÄN</t>
        </is>
      </c>
      <c r="G44" t="inlineStr">
        <is>
          <t>KUNGSÖR</t>
        </is>
      </c>
      <c r="H44" t="inlineStr">
        <is>
          <t>Allmännings- och besparingsskogar</t>
        </is>
      </c>
      <c r="I44" t="n">
        <v>8.4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1040-2025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45666</v>
      </c>
      <c r="E45" s="1" t="n">
        <v>46289</v>
      </c>
      <c r="F45" t="inlineStr">
        <is>
          <t>VÄSTMANLANDS LÄN</t>
        </is>
      </c>
      <c r="G45" t="inlineStr">
        <is>
          <t>KUNGSÖR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30634-2023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45112</v>
      </c>
      <c r="E46" s="1" t="n">
        <v>46289</v>
      </c>
      <c r="F46" t="inlineStr">
        <is>
          <t>VÄSTMANLANDS LÄN</t>
        </is>
      </c>
      <c r="G46" t="inlineStr">
        <is>
          <t>KUNGSÖR</t>
        </is>
      </c>
      <c r="I46" t="n">
        <v>6.2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26382-2023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45092</v>
      </c>
      <c r="E47" s="1" t="n">
        <v>46289</v>
      </c>
      <c r="F47" t="inlineStr">
        <is>
          <t>VÄSTMANLANDS LÄN</t>
        </is>
      </c>
      <c r="G47" t="inlineStr">
        <is>
          <t>KUNGSÖR</t>
        </is>
      </c>
      <c r="H47" t="inlineStr">
        <is>
          <t>Allmännings- och besparingsskogar</t>
        </is>
      </c>
      <c r="I47" t="n">
        <v>20.3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55003-2022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44886</v>
      </c>
      <c r="E48" s="1" t="n">
        <v>46289</v>
      </c>
      <c r="F48" t="inlineStr">
        <is>
          <t>VÄSTMANLANDS LÄN</t>
        </is>
      </c>
      <c r="G48" t="inlineStr">
        <is>
          <t>KUNGSÖR</t>
        </is>
      </c>
      <c r="I48" t="n">
        <v>6.6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59609-2021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44491</v>
      </c>
      <c r="E49" s="1" t="n">
        <v>46289</v>
      </c>
      <c r="F49" t="inlineStr">
        <is>
          <t>VÄSTMANLANDS LÄN</t>
        </is>
      </c>
      <c r="G49" t="inlineStr">
        <is>
          <t>KUNGSÖR</t>
        </is>
      </c>
      <c r="I49" t="n">
        <v>12.7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10298-2026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46076</v>
      </c>
      <c r="E50" s="1" t="n">
        <v>46289</v>
      </c>
      <c r="F50" t="inlineStr">
        <is>
          <t>VÄSTMANLANDS LÄN</t>
        </is>
      </c>
      <c r="G50" t="inlineStr">
        <is>
          <t>KUNGSÖR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40607-2024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45556</v>
      </c>
      <c r="E51" s="1" t="n">
        <v>46289</v>
      </c>
      <c r="F51" t="inlineStr">
        <is>
          <t>VÄSTMANLANDS LÄN</t>
        </is>
      </c>
      <c r="G51" t="inlineStr">
        <is>
          <t>KUNGSÖR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59805-2024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45639</v>
      </c>
      <c r="E52" s="1" t="n">
        <v>46289</v>
      </c>
      <c r="F52" t="inlineStr">
        <is>
          <t>VÄSTMANLANDS LÄN</t>
        </is>
      </c>
      <c r="G52" t="inlineStr">
        <is>
          <t>KUNGSÖR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8193-2023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44974</v>
      </c>
      <c r="E53" s="1" t="n">
        <v>46289</v>
      </c>
      <c r="F53" t="inlineStr">
        <is>
          <t>VÄSTMANLANDS LÄN</t>
        </is>
      </c>
      <c r="G53" t="inlineStr">
        <is>
          <t>KUNGSÖR</t>
        </is>
      </c>
      <c r="H53" t="inlineStr">
        <is>
          <t>Allmännings- och besparingsskogar</t>
        </is>
      </c>
      <c r="I53" t="n">
        <v>10.5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8228-2023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44974</v>
      </c>
      <c r="E54" s="1" t="n">
        <v>46289</v>
      </c>
      <c r="F54" t="inlineStr">
        <is>
          <t>VÄSTMANLANDS LÄN</t>
        </is>
      </c>
      <c r="G54" t="inlineStr">
        <is>
          <t>KUNGSÖR</t>
        </is>
      </c>
      <c r="I54" t="n">
        <v>13.9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51096-2024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45603</v>
      </c>
      <c r="E55" s="1" t="n">
        <v>46289</v>
      </c>
      <c r="F55" t="inlineStr">
        <is>
          <t>VÄSTMANLANDS LÄN</t>
        </is>
      </c>
      <c r="G55" t="inlineStr">
        <is>
          <t>KUNGSÖR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47123-2024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45586</v>
      </c>
      <c r="E56" s="1" t="n">
        <v>46289</v>
      </c>
      <c r="F56" t="inlineStr">
        <is>
          <t>VÄSTMANLANDS LÄN</t>
        </is>
      </c>
      <c r="G56" t="inlineStr">
        <is>
          <t>KUNGSÖR</t>
        </is>
      </c>
      <c r="I56" t="n">
        <v>5.3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38308-2023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45161</v>
      </c>
      <c r="E57" s="1" t="n">
        <v>46289</v>
      </c>
      <c r="F57" t="inlineStr">
        <is>
          <t>VÄSTMANLANDS LÄN</t>
        </is>
      </c>
      <c r="G57" t="inlineStr">
        <is>
          <t>KUNGSÖR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61260-2025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46000</v>
      </c>
      <c r="E58" s="1" t="n">
        <v>46289</v>
      </c>
      <c r="F58" t="inlineStr">
        <is>
          <t>VÄSTMANLANDS LÄN</t>
        </is>
      </c>
      <c r="G58" t="inlineStr">
        <is>
          <t>KUNGSÖR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26029-2022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44734</v>
      </c>
      <c r="E59" s="1" t="n">
        <v>46289</v>
      </c>
      <c r="F59" t="inlineStr">
        <is>
          <t>VÄSTMANLANDS LÄN</t>
        </is>
      </c>
      <c r="G59" t="inlineStr">
        <is>
          <t>KUNGSÖR</t>
        </is>
      </c>
      <c r="H59" t="inlineStr">
        <is>
          <t>Allmännings- och besparingsskogar</t>
        </is>
      </c>
      <c r="I59" t="n">
        <v>9.699999999999999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33022-2025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45840</v>
      </c>
      <c r="E60" s="1" t="n">
        <v>46289</v>
      </c>
      <c r="F60" t="inlineStr">
        <is>
          <t>VÄSTMANLANDS LÄN</t>
        </is>
      </c>
      <c r="G60" t="inlineStr">
        <is>
          <t>KUNGSÖR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31883-2022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44777</v>
      </c>
      <c r="E61" s="1" t="n">
        <v>46289</v>
      </c>
      <c r="F61" t="inlineStr">
        <is>
          <t>VÄSTMANLANDS LÄN</t>
        </is>
      </c>
      <c r="G61" t="inlineStr">
        <is>
          <t>KUNGSÖR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52789-2024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45610</v>
      </c>
      <c r="E62" s="1" t="n">
        <v>46289</v>
      </c>
      <c r="F62" t="inlineStr">
        <is>
          <t>VÄSTMANLANDS LÄN</t>
        </is>
      </c>
      <c r="G62" t="inlineStr">
        <is>
          <t>KUNGSÖR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26274-2026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46182</v>
      </c>
      <c r="E63" s="1" t="n">
        <v>46289</v>
      </c>
      <c r="F63" t="inlineStr">
        <is>
          <t>VÄSTMANLANDS LÄN</t>
        </is>
      </c>
      <c r="G63" t="inlineStr">
        <is>
          <t>KUNGSÖR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26257-2026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46182</v>
      </c>
      <c r="E64" s="1" t="n">
        <v>46289</v>
      </c>
      <c r="F64" t="inlineStr">
        <is>
          <t>VÄSTMANLANDS LÄN</t>
        </is>
      </c>
      <c r="G64" t="inlineStr">
        <is>
          <t>KUNGSÖR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27399-2026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46189</v>
      </c>
      <c r="E65" s="1" t="n">
        <v>46289</v>
      </c>
      <c r="F65" t="inlineStr">
        <is>
          <t>VÄSTMANLANDS LÄN</t>
        </is>
      </c>
      <c r="G65" t="inlineStr">
        <is>
          <t>KUNGSÖR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27400-2026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46189</v>
      </c>
      <c r="E66" s="1" t="n">
        <v>46289</v>
      </c>
      <c r="F66" t="inlineStr">
        <is>
          <t>VÄSTMANLANDS LÄN</t>
        </is>
      </c>
      <c r="G66" t="inlineStr">
        <is>
          <t>KUNGSÖR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35521-2026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46262</v>
      </c>
      <c r="E67" s="1" t="n">
        <v>46289</v>
      </c>
      <c r="F67" t="inlineStr">
        <is>
          <t>VÄSTMANLANDS LÄN</t>
        </is>
      </c>
      <c r="G67" t="inlineStr">
        <is>
          <t>KUNGSÖR</t>
        </is>
      </c>
      <c r="H67" t="inlineStr">
        <is>
          <t>Allmännings- och besparingsskogar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35459-2026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46262</v>
      </c>
      <c r="E68" s="1" t="n">
        <v>46289</v>
      </c>
      <c r="F68" t="inlineStr">
        <is>
          <t>VÄSTMANLANDS LÄN</t>
        </is>
      </c>
      <c r="G68" t="inlineStr">
        <is>
          <t>KUNGSÖR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37054-2026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46273</v>
      </c>
      <c r="E69" s="1" t="n">
        <v>46289</v>
      </c>
      <c r="F69" t="inlineStr">
        <is>
          <t>VÄSTMANLANDS LÄN</t>
        </is>
      </c>
      <c r="G69" t="inlineStr">
        <is>
          <t>KUNGSÖR</t>
        </is>
      </c>
      <c r="H69" t="inlineStr">
        <is>
          <t>Allmännings- och besparingsskogar</t>
        </is>
      </c>
      <c r="I69" t="n">
        <v>6.3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37045-2026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46273</v>
      </c>
      <c r="E70" s="1" t="n">
        <v>46289</v>
      </c>
      <c r="F70" t="inlineStr">
        <is>
          <t>VÄSTMANLANDS LÄN</t>
        </is>
      </c>
      <c r="G70" t="inlineStr">
        <is>
          <t>KUNGSÖR</t>
        </is>
      </c>
      <c r="H70" t="inlineStr">
        <is>
          <t>Allmännings- och besparingsskogar</t>
        </is>
      </c>
      <c r="I70" t="n">
        <v>7.6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37865-2026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46279</v>
      </c>
      <c r="E71" s="1" t="n">
        <v>46289</v>
      </c>
      <c r="F71" t="inlineStr">
        <is>
          <t>VÄSTMANLANDS LÄN</t>
        </is>
      </c>
      <c r="G71" t="inlineStr">
        <is>
          <t>KUNGSÖR</t>
        </is>
      </c>
      <c r="H71" t="inlineStr">
        <is>
          <t>Allmännings- och besparingsskogar</t>
        </is>
      </c>
      <c r="I71" t="n">
        <v>9.1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1310-2022</t>
        </is>
      </c>
      <c r="B72" t="inlineStr">
        <is>
          <t>samrådsanmälan</t>
        </is>
      </c>
      <c r="C72" t="inlineStr">
        <is>
          <t>Skogsgödsling</t>
        </is>
      </c>
      <c r="D72" s="1" t="n">
        <v>44628</v>
      </c>
      <c r="E72" s="1" t="n">
        <v>46289</v>
      </c>
      <c r="F72" t="inlineStr">
        <is>
          <t>VÄSTMANLANDS LÄN</t>
        </is>
      </c>
      <c r="G72" t="inlineStr">
        <is>
          <t>KUNGSÖR</t>
        </is>
      </c>
      <c r="I72" t="n">
        <v>36.9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2026-09-24T01:54:48Z</dcterms:created>
  <dcterms:modified xmlns:dcterms="http://purl.org/dc/terms/" xmlns:xsi="http://www.w3.org/2001/XMLSchema-instance" xsi:type="dcterms:W3CDTF">2026-09-24T01:54:48Z</dcterms:modified>
</cp:coreProperties>
</file>