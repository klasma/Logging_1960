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46216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46216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46216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46216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46216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46216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46216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Blåsippa</t>
        </is>
      </c>
      <c r="V8">
        <f>HYPERLINK("https://klasma.github.io/Logging_1960/artfynd/A 53870-2022 artfynd.xlsx", "A 53870-2022")</f>
        <v/>
      </c>
      <c r="W8">
        <f>HYPERLINK("https://klasma.github.io/Logging_1960/kartor/A 53870-2022 karta.png", "A 53870-2022")</f>
        <v/>
      </c>
      <c r="Y8">
        <f>HYPERLINK("https://klasma.github.io/Logging_1960/klagomål/A 53870-2022 FSC-klagomål.docx", "A 53870-2022")</f>
        <v/>
      </c>
      <c r="Z8">
        <f>HYPERLINK("https://klasma.github.io/Logging_1960/klagomålsmail/A 53870-2022 FSC-klagomål mail.docx", "A 53870-2022")</f>
        <v/>
      </c>
      <c r="AA8">
        <f>HYPERLINK("https://klasma.github.io/Logging_1960/tillsyn/A 53870-2022 tillsynsbegäran.docx", "A 53870-2022")</f>
        <v/>
      </c>
      <c r="AB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46216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s="2" t="inlineStr">
        <is>
          <t>Knärot</t>
        </is>
      </c>
      <c r="V9">
        <f>HYPERLINK("https://klasma.github.io/Logging_1960/artfynd/A 25961-2026 artfynd.xlsx", "A 25961-2026")</f>
        <v/>
      </c>
      <c r="W9">
        <f>HYPERLINK("https://klasma.github.io/Logging_1960/kartor/A 25961-2026 karta.png", "A 25961-2026")</f>
        <v/>
      </c>
      <c r="X9">
        <f>HYPERLINK("https://klasma.github.io/Logging_1960/knärot/A 25961-2026 karta knärot.png", "A 25961-2026")</f>
        <v/>
      </c>
      <c r="Y9">
        <f>HYPERLINK("https://klasma.github.io/Logging_1960/klagomål/A 25961-2026 FSC-klagomål.docx", "A 25961-2026")</f>
        <v/>
      </c>
      <c r="Z9">
        <f>HYPERLINK("https://klasma.github.io/Logging_1960/klagomålsmail/A 25961-2026 FSC-klagomål mail.docx", "A 25961-2026")</f>
        <v/>
      </c>
      <c r="AA9">
        <f>HYPERLINK("https://klasma.github.io/Logging_1960/tillsyn/A 25961-2026 tillsynsbegäran.docx", "A 25961-2026")</f>
        <v/>
      </c>
      <c r="AB9">
        <f>HYPERLINK("https://klasma.github.io/Logging_1960/tillsynsmail/A 25961-2026 tillsynsbegäran mail.docx", "A 25961-2026")</f>
        <v/>
      </c>
    </row>
    <row r="10" ht="15" customHeight="1">
      <c r="A10" t="inlineStr">
        <is>
          <t>A 36639-2021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44392</v>
      </c>
      <c r="E10" s="1" t="n">
        <v>46216</v>
      </c>
      <c r="F10" t="inlineStr">
        <is>
          <t>VÄSTMANLANDS LÄN</t>
        </is>
      </c>
      <c r="G10" t="inlineStr">
        <is>
          <t>KUNGSÖR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46216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46216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46216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46216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46216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46216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46216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46216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41446-2023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46216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8.4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46216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46216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46216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36638-2021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44392</v>
      </c>
      <c r="E23" s="1" t="n">
        <v>46216</v>
      </c>
      <c r="F23" t="inlineStr">
        <is>
          <t>VÄSTMANLANDS LÄN</t>
        </is>
      </c>
      <c r="G23" t="inlineStr">
        <is>
          <t>KUNGSÖR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40607-2024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45556</v>
      </c>
      <c r="E24" s="1" t="n">
        <v>46216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44720-2021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44438</v>
      </c>
      <c r="E25" s="1" t="n">
        <v>46216</v>
      </c>
      <c r="F25" t="inlineStr">
        <is>
          <t>VÄSTMANLANDS LÄN</t>
        </is>
      </c>
      <c r="G25" t="inlineStr">
        <is>
          <t>KUNGSÖR</t>
        </is>
      </c>
      <c r="I25" t="n">
        <v>11.4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11771-2025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45727</v>
      </c>
      <c r="E26" s="1" t="n">
        <v>46216</v>
      </c>
      <c r="F26" t="inlineStr">
        <is>
          <t>VÄSTMANLANDS LÄN</t>
        </is>
      </c>
      <c r="G26" t="inlineStr">
        <is>
          <t>KUNGSÖR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46216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46216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59805-2024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45639</v>
      </c>
      <c r="E29" s="1" t="n">
        <v>46216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46216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46216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46216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46216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46216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55072-2021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44474</v>
      </c>
      <c r="E35" s="1" t="n">
        <v>46216</v>
      </c>
      <c r="F35" t="inlineStr">
        <is>
          <t>VÄSTMANLANDS LÄN</t>
        </is>
      </c>
      <c r="G35" t="inlineStr">
        <is>
          <t>KUNGSÖR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10516-2022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46216</v>
      </c>
      <c r="F36" t="inlineStr">
        <is>
          <t>VÄSTMANLANDS LÄN</t>
        </is>
      </c>
      <c r="G36" t="inlineStr">
        <is>
          <t>KUNGSÖR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10517-2022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46216</v>
      </c>
      <c r="F37" t="inlineStr">
        <is>
          <t>VÄSTMANLANDS LÄN</t>
        </is>
      </c>
      <c r="G37" t="inlineStr">
        <is>
          <t>KUNGSÖR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50058-2021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46216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10298-2026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46216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46216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46216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46216</v>
      </c>
      <c r="F42" t="inlineStr">
        <is>
          <t>VÄSTMANLANDS LÄN</t>
        </is>
      </c>
      <c r="G42" t="inlineStr">
        <is>
          <t>KUNGSÖR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46216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46216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33022-2025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46216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38938-2021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44411</v>
      </c>
      <c r="E46" s="1" t="n">
        <v>46216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46216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46216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9.699999999999999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46216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52802-2022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46216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46216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46216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26274-2026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46216</v>
      </c>
      <c r="F53" t="inlineStr">
        <is>
          <t>VÄSTMANLANDS LÄN</t>
        </is>
      </c>
      <c r="G53" t="inlineStr">
        <is>
          <t>KUNGSÖR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39269-2023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46216</v>
      </c>
      <c r="F54" t="inlineStr">
        <is>
          <t>VÄSTMANLANDS LÄN</t>
        </is>
      </c>
      <c r="G54" t="inlineStr">
        <is>
          <t>KUNGSÖR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59609-2021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46216</v>
      </c>
      <c r="F55" t="inlineStr">
        <is>
          <t>VÄSTMANLANDS LÄN</t>
        </is>
      </c>
      <c r="G55" t="inlineStr">
        <is>
          <t>KUNGSÖR</t>
        </is>
      </c>
      <c r="I55" t="n">
        <v>12.7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19266-2024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46216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27400-2026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46189</v>
      </c>
      <c r="E57" s="1" t="n">
        <v>46216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27399-2026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46189</v>
      </c>
      <c r="E58" s="1" t="n">
        <v>46216</v>
      </c>
      <c r="F58" t="inlineStr">
        <is>
          <t>VÄSTMANLANDS LÄN</t>
        </is>
      </c>
      <c r="G58" t="inlineStr">
        <is>
          <t>KUNGSÖR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46216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46216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46216</v>
      </c>
      <c r="F61" t="inlineStr">
        <is>
          <t>VÄSTMANLANDS LÄN</t>
        </is>
      </c>
      <c r="G61" t="inlineStr">
        <is>
          <t>KUNGSÖR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36539-2021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44391</v>
      </c>
      <c r="E62" s="1" t="n">
        <v>46216</v>
      </c>
      <c r="F62" t="inlineStr">
        <is>
          <t>VÄSTMANLANDS LÄN</t>
        </is>
      </c>
      <c r="G62" t="inlineStr">
        <is>
          <t>KUNGSÖR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46216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46216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46216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46216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23574-2023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45077</v>
      </c>
      <c r="E67" s="1" t="n">
        <v>46216</v>
      </c>
      <c r="F67" t="inlineStr">
        <is>
          <t>VÄSTMANLANDS LÄN</t>
        </is>
      </c>
      <c r="G67" t="inlineStr">
        <is>
          <t>KUNGSÖR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26382-2023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46216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20.3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46216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46216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46216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24023-2025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46216</v>
      </c>
      <c r="F72" t="inlineStr">
        <is>
          <t>VÄSTMANLANDS LÄN</t>
        </is>
      </c>
      <c r="G72" t="inlineStr">
        <is>
          <t>KUNGSÖR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>
      <c r="A73" t="inlineStr">
        <is>
          <t>S 1310-2022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44628</v>
      </c>
      <c r="E73" s="1" t="n">
        <v>46216</v>
      </c>
      <c r="F73" t="inlineStr">
        <is>
          <t>VÄSTMANLANDS LÄN</t>
        </is>
      </c>
      <c r="G73" t="inlineStr">
        <is>
          <t>KUNGSÖR</t>
        </is>
      </c>
      <c r="I73" t="n">
        <v>36.9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2026-07-13T14:48:39Z</dcterms:created>
  <dcterms:modified xmlns:dcterms="http://purl.org/dc/terms/" xmlns:xsi="http://www.w3.org/2001/XMLSchema-instance" xsi:type="dcterms:W3CDTF">2026-07-13T14:48:39Z</dcterms:modified>
</cp:coreProperties>
</file>