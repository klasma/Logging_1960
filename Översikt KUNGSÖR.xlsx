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46090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46090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2850-2026</t>
        </is>
      </c>
      <c r="B4" s="1" t="n">
        <v>46038.47877314815</v>
      </c>
      <c r="C4" s="1" t="n">
        <v>46090</v>
      </c>
      <c r="D4" t="inlineStr">
        <is>
          <t>VÄSTMANLANDS LÄN</t>
        </is>
      </c>
      <c r="E4" t="inlineStr">
        <is>
          <t>KUNGSÖR</t>
        </is>
      </c>
      <c r="G4" t="n">
        <v>3.1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Björksplintborre
Kungsfågel</t>
        </is>
      </c>
      <c r="S4">
        <f>HYPERLINK("https://klasma.github.io/Logging_1960/artfynd/A 2850-2026 artfynd.xlsx", "A 2850-2026")</f>
        <v/>
      </c>
      <c r="T4">
        <f>HYPERLINK("https://klasma.github.io/Logging_1960/kartor/A 2850-2026 karta.png", "A 2850-2026")</f>
        <v/>
      </c>
      <c r="V4">
        <f>HYPERLINK("https://klasma.github.io/Logging_1960/klagomål/A 2850-2026 FSC-klagomål.docx", "A 2850-2026")</f>
        <v/>
      </c>
      <c r="W4">
        <f>HYPERLINK("https://klasma.github.io/Logging_1960/klagomålsmail/A 2850-2026 FSC-klagomål mail.docx", "A 2850-2026")</f>
        <v/>
      </c>
      <c r="X4">
        <f>HYPERLINK("https://klasma.github.io/Logging_1960/tillsyn/A 2850-2026 tillsynsbegäran.docx", "A 2850-2026")</f>
        <v/>
      </c>
      <c r="Y4">
        <f>HYPERLINK("https://klasma.github.io/Logging_1960/tillsynsmail/A 2850-2026 tillsynsbegäran mail.docx", "A 2850-2026")</f>
        <v/>
      </c>
      <c r="Z4">
        <f>HYPERLINK("https://klasma.github.io/Logging_1960/fåglar/A 2850-2026 prioriterade fågelarter.docx", "A 2850-2026")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46090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46090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46090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46090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46090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46090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46090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46090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46090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46090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46090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46090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46090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46090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46090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46090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46090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46090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46090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46090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46090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46090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20197-2023</t>
        </is>
      </c>
      <c r="B27" s="1" t="n">
        <v>45055</v>
      </c>
      <c r="C27" s="1" t="n">
        <v>46090</v>
      </c>
      <c r="D27" t="inlineStr">
        <is>
          <t>VÄSTMANLANDS LÄN</t>
        </is>
      </c>
      <c r="E27" t="inlineStr">
        <is>
          <t>KUNGSÖR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40607-2024</t>
        </is>
      </c>
      <c r="B28" s="1" t="n">
        <v>45556.70357638889</v>
      </c>
      <c r="C28" s="1" t="n">
        <v>46090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11771-2025</t>
        </is>
      </c>
      <c r="B29" s="1" t="n">
        <v>45727</v>
      </c>
      <c r="C29" s="1" t="n">
        <v>46090</v>
      </c>
      <c r="D29" t="inlineStr">
        <is>
          <t>VÄSTMANLANDS LÄN</t>
        </is>
      </c>
      <c r="E29" t="inlineStr">
        <is>
          <t>KUNGSÖR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19420-2024</t>
        </is>
      </c>
      <c r="B30" s="1" t="n">
        <v>45429.42680555556</v>
      </c>
      <c r="C30" s="1" t="n">
        <v>46090</v>
      </c>
      <c r="D30" t="inlineStr">
        <is>
          <t>VÄSTMANLANDS LÄN</t>
        </is>
      </c>
      <c r="E30" t="inlineStr">
        <is>
          <t>KUNGSÖR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60754-2024</t>
        </is>
      </c>
      <c r="B31" s="1" t="n">
        <v>45644</v>
      </c>
      <c r="C31" s="1" t="n">
        <v>46090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36638-2021</t>
        </is>
      </c>
      <c r="B32" s="1" t="n">
        <v>44392</v>
      </c>
      <c r="C32" s="1" t="n">
        <v>46090</v>
      </c>
      <c r="D32" t="inlineStr">
        <is>
          <t>VÄSTMANLANDS LÄN</t>
        </is>
      </c>
      <c r="E32" t="inlineStr">
        <is>
          <t>KUNGSÖR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44720-2021</t>
        </is>
      </c>
      <c r="B33" s="1" t="n">
        <v>44438</v>
      </c>
      <c r="C33" s="1" t="n">
        <v>46090</v>
      </c>
      <c r="D33" t="inlineStr">
        <is>
          <t>VÄSTMANLANDS LÄN</t>
        </is>
      </c>
      <c r="E33" t="inlineStr">
        <is>
          <t>KUNGSÖR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46090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5952-2024</t>
        </is>
      </c>
      <c r="B35" s="1" t="n">
        <v>45335</v>
      </c>
      <c r="C35" s="1" t="n">
        <v>46090</v>
      </c>
      <c r="D35" t="inlineStr">
        <is>
          <t>VÄSTMANLANDS LÄN</t>
        </is>
      </c>
      <c r="E35" t="inlineStr">
        <is>
          <t>KUNGSÖR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59615-2021</t>
        </is>
      </c>
      <c r="B36" s="1" t="n">
        <v>44491.70662037037</v>
      </c>
      <c r="C36" s="1" t="n">
        <v>46090</v>
      </c>
      <c r="D36" t="inlineStr">
        <is>
          <t>VÄSTMANLANDS LÄN</t>
        </is>
      </c>
      <c r="E36" t="inlineStr">
        <is>
          <t>KUNGSÖR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59805-2024</t>
        </is>
      </c>
      <c r="B37" s="1" t="n">
        <v>45639.60199074074</v>
      </c>
      <c r="C37" s="1" t="n">
        <v>46090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1040-2025</t>
        </is>
      </c>
      <c r="B38" s="1" t="n">
        <v>45666.54564814815</v>
      </c>
      <c r="C38" s="1" t="n">
        <v>46090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46090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46090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46090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46090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46090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46090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46090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46090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55072-2021</t>
        </is>
      </c>
      <c r="B47" s="1" t="n">
        <v>44474.64513888889</v>
      </c>
      <c r="C47" s="1" t="n">
        <v>46090</v>
      </c>
      <c r="D47" t="inlineStr">
        <is>
          <t>VÄSTMANLANDS LÄN</t>
        </is>
      </c>
      <c r="E47" t="inlineStr">
        <is>
          <t>KUNGSÖR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55079-2021</t>
        </is>
      </c>
      <c r="B48" s="1" t="n">
        <v>44474</v>
      </c>
      <c r="C48" s="1" t="n">
        <v>46090</v>
      </c>
      <c r="D48" t="inlineStr">
        <is>
          <t>VÄSTMANLANDS LÄN</t>
        </is>
      </c>
      <c r="E48" t="inlineStr">
        <is>
          <t>KUNGSÖR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46090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46090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46090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19917-2025</t>
        </is>
      </c>
      <c r="B52" s="1" t="n">
        <v>45771</v>
      </c>
      <c r="C52" s="1" t="n">
        <v>46090</v>
      </c>
      <c r="D52" t="inlineStr">
        <is>
          <t>VÄSTMANLANDS LÄN</t>
        </is>
      </c>
      <c r="E52" t="inlineStr">
        <is>
          <t>KUNGSÖR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6734-2022</t>
        </is>
      </c>
      <c r="B53" s="1" t="n">
        <v>44602.46284722222</v>
      </c>
      <c r="C53" s="1" t="n">
        <v>46090</v>
      </c>
      <c r="D53" t="inlineStr">
        <is>
          <t>VÄSTMANLANDS LÄN</t>
        </is>
      </c>
      <c r="E53" t="inlineStr">
        <is>
          <t>KUNGSÖR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61260-2025</t>
        </is>
      </c>
      <c r="B54" s="1" t="n">
        <v>46000</v>
      </c>
      <c r="C54" s="1" t="n">
        <v>46090</v>
      </c>
      <c r="D54" t="inlineStr">
        <is>
          <t>VÄSTMANLANDS LÄN</t>
        </is>
      </c>
      <c r="E54" t="inlineStr">
        <is>
          <t>KUNGSÖR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30634-2023</t>
        </is>
      </c>
      <c r="B55" s="1" t="n">
        <v>45112.45543981482</v>
      </c>
      <c r="C55" s="1" t="n">
        <v>46090</v>
      </c>
      <c r="D55" t="inlineStr">
        <is>
          <t>VÄSTMANLANDS LÄN</t>
        </is>
      </c>
      <c r="E55" t="inlineStr">
        <is>
          <t>KUNGSÖR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2800-2026</t>
        </is>
      </c>
      <c r="B56" s="1" t="n">
        <v>46038</v>
      </c>
      <c r="C56" s="1" t="n">
        <v>46090</v>
      </c>
      <c r="D56" t="inlineStr">
        <is>
          <t>VÄSTMANLANDS LÄN</t>
        </is>
      </c>
      <c r="E56" t="inlineStr">
        <is>
          <t>KUNGSÖR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10298-2026</t>
        </is>
      </c>
      <c r="B57" s="1" t="n">
        <v>46076.6277662037</v>
      </c>
      <c r="C57" s="1" t="n">
        <v>46090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52795-2023</t>
        </is>
      </c>
      <c r="B58" s="1" t="n">
        <v>45226.35605324074</v>
      </c>
      <c r="C58" s="1" t="n">
        <v>46090</v>
      </c>
      <c r="D58" t="inlineStr">
        <is>
          <t>VÄSTMANLANDS LÄN</t>
        </is>
      </c>
      <c r="E58" t="inlineStr">
        <is>
          <t>KUNGSÖR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16735-2023</t>
        </is>
      </c>
      <c r="B59" s="1" t="n">
        <v>45030.71976851852</v>
      </c>
      <c r="C59" s="1" t="n">
        <v>46090</v>
      </c>
      <c r="D59" t="inlineStr">
        <is>
          <t>VÄSTMANLANDS LÄN</t>
        </is>
      </c>
      <c r="E59" t="inlineStr">
        <is>
          <t>KUNGSÖR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19082-2023</t>
        </is>
      </c>
      <c r="B60" s="1" t="n">
        <v>45048</v>
      </c>
      <c r="C60" s="1" t="n">
        <v>46090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46090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26029-2022</t>
        </is>
      </c>
      <c r="B62" s="1" t="n">
        <v>44734</v>
      </c>
      <c r="C62" s="1" t="n">
        <v>46090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46090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46090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46090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39269-2023</t>
        </is>
      </c>
      <c r="B66" s="1" t="n">
        <v>45166.49605324074</v>
      </c>
      <c r="C66" s="1" t="n">
        <v>46090</v>
      </c>
      <c r="D66" t="inlineStr">
        <is>
          <t>VÄSTMANLANDS LÄN</t>
        </is>
      </c>
      <c r="E66" t="inlineStr">
        <is>
          <t>KUNGSÖR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46090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19266-2024</t>
        </is>
      </c>
      <c r="B68" s="1" t="n">
        <v>45428.62668981482</v>
      </c>
      <c r="C68" s="1" t="n">
        <v>46090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52809-2022</t>
        </is>
      </c>
      <c r="B69" s="1" t="n">
        <v>44875</v>
      </c>
      <c r="C69" s="1" t="n">
        <v>46090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3683-2023</t>
        </is>
      </c>
      <c r="B70" s="1" t="n">
        <v>44950</v>
      </c>
      <c r="C70" s="1" t="n">
        <v>46090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46090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46090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46090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46090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46090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46090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23574-2023</t>
        </is>
      </c>
      <c r="B77" s="1" t="n">
        <v>45077</v>
      </c>
      <c r="C77" s="1" t="n">
        <v>46090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26382-2023</t>
        </is>
      </c>
      <c r="B78" s="1" t="n">
        <v>45092</v>
      </c>
      <c r="C78" s="1" t="n">
        <v>46090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60736-2024</t>
        </is>
      </c>
      <c r="B79" s="1" t="n">
        <v>45644</v>
      </c>
      <c r="C79" s="1" t="n">
        <v>46090</v>
      </c>
      <c r="D79" t="inlineStr">
        <is>
          <t>VÄSTMANLANDS LÄN</t>
        </is>
      </c>
      <c r="E79" t="inlineStr">
        <is>
          <t>KUNGSÖR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52789-2024</t>
        </is>
      </c>
      <c r="B80" s="1" t="n">
        <v>45610.55425925926</v>
      </c>
      <c r="C80" s="1" t="n">
        <v>46090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2026-03-09T11:15:46Z</dcterms:created>
  <dcterms:modified xmlns:dcterms="http://purl.org/dc/terms/" xmlns:xsi="http://www.w3.org/2001/XMLSchema-instance" xsi:type="dcterms:W3CDTF">2026-03-09T11:15:46Z</dcterms:modified>
</cp:coreProperties>
</file>