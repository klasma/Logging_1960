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46191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46191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46191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46191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46191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46191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19917-2025</t>
        </is>
      </c>
      <c r="B8" s="1" t="n">
        <v>45771</v>
      </c>
      <c r="C8" s="1" t="n">
        <v>46191</v>
      </c>
      <c r="D8" t="inlineStr">
        <is>
          <t>VÄSTMANLANDS LÄN</t>
        </is>
      </c>
      <c r="E8" t="inlineStr">
        <is>
          <t>KUNGSÖR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HYPERLINK("https://klasma.github.io/Logging_1960/artfynd/A 19917-2025 artfynd.xlsx", "A 19917-2025")</f>
        <v/>
      </c>
      <c r="T8">
        <f>HYPERLINK("https://klasma.github.io/Logging_1960/kartor/A 19917-2025 karta.png", "A 19917-2025")</f>
        <v/>
      </c>
      <c r="V8">
        <f>HYPERLINK("https://klasma.github.io/Logging_1960/klagomål/A 19917-2025 FSC-klagomål.docx", "A 19917-2025")</f>
        <v/>
      </c>
      <c r="W8">
        <f>HYPERLINK("https://klasma.github.io/Logging_1960/klagomålsmail/A 19917-2025 FSC-klagomål mail.docx", "A 19917-2025")</f>
        <v/>
      </c>
      <c r="X8">
        <f>HYPERLINK("https://klasma.github.io/Logging_1960/tillsyn/A 19917-2025 tillsynsbegäran.docx", "A 19917-2025")</f>
        <v/>
      </c>
      <c r="Y8">
        <f>HYPERLINK("https://klasma.github.io/Logging_1960/tillsynsmail/A 19917-2025 tillsynsbegäran mail.docx", "A 19917-2025")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46191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s="1" t="n">
        <v>46181</v>
      </c>
      <c r="C10" s="1" t="n">
        <v>46191</v>
      </c>
      <c r="D10" t="inlineStr">
        <is>
          <t>VÄSTMANLANDS LÄN</t>
        </is>
      </c>
      <c r="E10" t="inlineStr">
        <is>
          <t>KUNGSÖR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HYPERLINK("https://klasma.github.io/Logging_1960/artfynd/A 25961-2026 artfynd.xlsx", "A 25961-2026")</f>
        <v/>
      </c>
      <c r="T10">
        <f>HYPERLINK("https://klasma.github.io/Logging_1960/kartor/A 25961-2026 karta.png", "A 25961-2026")</f>
        <v/>
      </c>
      <c r="U10">
        <f>HYPERLINK("https://klasma.github.io/Logging_1960/knärot/A 25961-2026 karta knärot.png", "A 25961-2026")</f>
        <v/>
      </c>
      <c r="V10">
        <f>HYPERLINK("https://klasma.github.io/Logging_1960/klagomål/A 25961-2026 FSC-klagomål.docx", "A 25961-2026")</f>
        <v/>
      </c>
      <c r="W10">
        <f>HYPERLINK("https://klasma.github.io/Logging_1960/klagomålsmail/A 25961-2026 FSC-klagomål mail.docx", "A 25961-2026")</f>
        <v/>
      </c>
      <c r="X10">
        <f>HYPERLINK("https://klasma.github.io/Logging_1960/tillsyn/A 25961-2026 tillsynsbegäran.docx", "A 25961-2026")</f>
        <v/>
      </c>
      <c r="Y10">
        <f>HYPERLINK("https://klasma.github.io/Logging_1960/tillsynsmail/A 25961-2026 tillsynsbegäran mail.docx", "A 25961-2026")</f>
        <v/>
      </c>
    </row>
    <row r="11" ht="15" customHeight="1">
      <c r="A11" t="inlineStr">
        <is>
          <t>A 36639-2021</t>
        </is>
      </c>
      <c r="B11" s="1" t="n">
        <v>44392</v>
      </c>
      <c r="C11" s="1" t="n">
        <v>46191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17093-2022</t>
        </is>
      </c>
      <c r="B12" s="1" t="n">
        <v>44677</v>
      </c>
      <c r="C12" s="1" t="n">
        <v>46191</v>
      </c>
      <c r="D12" t="inlineStr">
        <is>
          <t>VÄSTMANLANDS LÄN</t>
        </is>
      </c>
      <c r="E12" t="inlineStr">
        <is>
          <t>KUNGSÖR</t>
        </is>
      </c>
      <c r="F12" t="inlineStr">
        <is>
          <t>Kommuner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46191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46191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46191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46191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46191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46191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46191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1906-2022</t>
        </is>
      </c>
      <c r="B20" s="1" t="n">
        <v>44575</v>
      </c>
      <c r="C20" s="1" t="n">
        <v>46191</v>
      </c>
      <c r="D20" t="inlineStr">
        <is>
          <t>VÄSTMANLANDS LÄN</t>
        </is>
      </c>
      <c r="E20" t="inlineStr">
        <is>
          <t>KUNGSÖR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59615-2021</t>
        </is>
      </c>
      <c r="B21" s="1" t="n">
        <v>44491</v>
      </c>
      <c r="C21" s="1" t="n">
        <v>46191</v>
      </c>
      <c r="D21" t="inlineStr">
        <is>
          <t>VÄSTMANLANDS LÄN</t>
        </is>
      </c>
      <c r="E21" t="inlineStr">
        <is>
          <t>KUNGSÖR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46191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39269-2023</t>
        </is>
      </c>
      <c r="B23" s="1" t="n">
        <v>45166</v>
      </c>
      <c r="C23" s="1" t="n">
        <v>46191</v>
      </c>
      <c r="D23" t="inlineStr">
        <is>
          <t>VÄSTMANLANDS LÄN</t>
        </is>
      </c>
      <c r="E23" t="inlineStr">
        <is>
          <t>KUNGSÖR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59612-2021</t>
        </is>
      </c>
      <c r="B24" s="1" t="n">
        <v>44491</v>
      </c>
      <c r="C24" s="1" t="n">
        <v>46191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19266-2024</t>
        </is>
      </c>
      <c r="B25" s="1" t="n">
        <v>45428</v>
      </c>
      <c r="C25" s="1" t="n">
        <v>46191</v>
      </c>
      <c r="D25" t="inlineStr">
        <is>
          <t>VÄSTMANLANDS LÄN</t>
        </is>
      </c>
      <c r="E25" t="inlineStr">
        <is>
          <t>KUNGSÖR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40815-2022</t>
        </is>
      </c>
      <c r="B26" s="1" t="n">
        <v>44824</v>
      </c>
      <c r="C26" s="1" t="n">
        <v>46191</v>
      </c>
      <c r="D26" t="inlineStr">
        <is>
          <t>VÄSTMANLANDS LÄN</t>
        </is>
      </c>
      <c r="E26" t="inlineStr">
        <is>
          <t>KUNGSÖR</t>
        </is>
      </c>
      <c r="G26" t="n">
        <v>15.9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10516-2022</t>
        </is>
      </c>
      <c r="B27" s="1" t="n">
        <v>44623</v>
      </c>
      <c r="C27" s="1" t="n">
        <v>46191</v>
      </c>
      <c r="D27" t="inlineStr">
        <is>
          <t>VÄSTMANLANDS LÄN</t>
        </is>
      </c>
      <c r="E27" t="inlineStr">
        <is>
          <t>KUNGSÖR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10517-2022</t>
        </is>
      </c>
      <c r="B28" s="1" t="n">
        <v>44623</v>
      </c>
      <c r="C28" s="1" t="n">
        <v>46191</v>
      </c>
      <c r="D28" t="inlineStr">
        <is>
          <t>VÄSTMANLANDS LÄN</t>
        </is>
      </c>
      <c r="E28" t="inlineStr">
        <is>
          <t>KUNGSÖR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39717-2023</t>
        </is>
      </c>
      <c r="B29" s="1" t="n">
        <v>45167</v>
      </c>
      <c r="C29" s="1" t="n">
        <v>46191</v>
      </c>
      <c r="D29" t="inlineStr">
        <is>
          <t>VÄSTMANLANDS LÄN</t>
        </is>
      </c>
      <c r="E29" t="inlineStr">
        <is>
          <t>KUNGSÖR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55072-2021</t>
        </is>
      </c>
      <c r="B30" s="1" t="n">
        <v>44474</v>
      </c>
      <c r="C30" s="1" t="n">
        <v>46191</v>
      </c>
      <c r="D30" t="inlineStr">
        <is>
          <t>VÄSTMANLANDS LÄN</t>
        </is>
      </c>
      <c r="E30" t="inlineStr">
        <is>
          <t>KUNGSÖR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10298-2026</t>
        </is>
      </c>
      <c r="B31" s="1" t="n">
        <v>46076</v>
      </c>
      <c r="C31" s="1" t="n">
        <v>46191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52795-2023</t>
        </is>
      </c>
      <c r="B32" s="1" t="n">
        <v>45226</v>
      </c>
      <c r="C32" s="1" t="n">
        <v>46191</v>
      </c>
      <c r="D32" t="inlineStr">
        <is>
          <t>VÄSTMANLANDS LÄN</t>
        </is>
      </c>
      <c r="E32" t="inlineStr">
        <is>
          <t>KUNGSÖR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38938-2021</t>
        </is>
      </c>
      <c r="B33" s="1" t="n">
        <v>44411</v>
      </c>
      <c r="C33" s="1" t="n">
        <v>46191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55003-2022</t>
        </is>
      </c>
      <c r="B34" s="1" t="n">
        <v>44886</v>
      </c>
      <c r="C34" s="1" t="n">
        <v>46191</v>
      </c>
      <c r="D34" t="inlineStr">
        <is>
          <t>VÄSTMANLANDS LÄN</t>
        </is>
      </c>
      <c r="E34" t="inlineStr">
        <is>
          <t>KUNGSÖR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59609-2021</t>
        </is>
      </c>
      <c r="B35" s="1" t="n">
        <v>44491</v>
      </c>
      <c r="C35" s="1" t="n">
        <v>46191</v>
      </c>
      <c r="D35" t="inlineStr">
        <is>
          <t>VÄSTMANLANDS LÄN</t>
        </is>
      </c>
      <c r="E35" t="inlineStr">
        <is>
          <t>KUNGSÖR</t>
        </is>
      </c>
      <c r="G35" t="n">
        <v>12.7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52802-2022</t>
        </is>
      </c>
      <c r="B36" s="1" t="n">
        <v>44875</v>
      </c>
      <c r="C36" s="1" t="n">
        <v>46191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6734-2022</t>
        </is>
      </c>
      <c r="B37" s="1" t="n">
        <v>44602</v>
      </c>
      <c r="C37" s="1" t="n">
        <v>46191</v>
      </c>
      <c r="D37" t="inlineStr">
        <is>
          <t>VÄSTMANLANDS LÄN</t>
        </is>
      </c>
      <c r="E37" t="inlineStr">
        <is>
          <t>KUNGSÖR</t>
        </is>
      </c>
      <c r="G37" t="n">
        <v>32.3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40607-2024</t>
        </is>
      </c>
      <c r="B38" s="1" t="n">
        <v>45556</v>
      </c>
      <c r="C38" s="1" t="n">
        <v>46191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61260-2025</t>
        </is>
      </c>
      <c r="B39" s="1" t="n">
        <v>46000</v>
      </c>
      <c r="C39" s="1" t="n">
        <v>46191</v>
      </c>
      <c r="D39" t="inlineStr">
        <is>
          <t>VÄSTMANLANDS LÄN</t>
        </is>
      </c>
      <c r="E39" t="inlineStr">
        <is>
          <t>KUNGSÖR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</v>
      </c>
      <c r="C40" s="1" t="n">
        <v>46191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30621-2023</t>
        </is>
      </c>
      <c r="B41" s="1" t="n">
        <v>45112</v>
      </c>
      <c r="C41" s="1" t="n">
        <v>46191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30623-2023</t>
        </is>
      </c>
      <c r="B42" s="1" t="n">
        <v>45112</v>
      </c>
      <c r="C42" s="1" t="n">
        <v>46191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8193-2023</t>
        </is>
      </c>
      <c r="B43" s="1" t="n">
        <v>44974</v>
      </c>
      <c r="C43" s="1" t="n">
        <v>46191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8228-2023</t>
        </is>
      </c>
      <c r="B44" s="1" t="n">
        <v>44974</v>
      </c>
      <c r="C44" s="1" t="n">
        <v>46191</v>
      </c>
      <c r="D44" t="inlineStr">
        <is>
          <t>VÄSTMANLANDS LÄN</t>
        </is>
      </c>
      <c r="E44" t="inlineStr">
        <is>
          <t>KUNGSÖR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51096-2024</t>
        </is>
      </c>
      <c r="B45" s="1" t="n">
        <v>45603</v>
      </c>
      <c r="C45" s="1" t="n">
        <v>46191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59853-2022</t>
        </is>
      </c>
      <c r="B46" s="1" t="n">
        <v>44908</v>
      </c>
      <c r="C46" s="1" t="n">
        <v>46191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47123-2024</t>
        </is>
      </c>
      <c r="B47" s="1" t="n">
        <v>45586</v>
      </c>
      <c r="C47" s="1" t="n">
        <v>46191</v>
      </c>
      <c r="D47" t="inlineStr">
        <is>
          <t>VÄSTMANLANDS LÄN</t>
        </is>
      </c>
      <c r="E47" t="inlineStr">
        <is>
          <t>KUNGSÖR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20376-2026</t>
        </is>
      </c>
      <c r="B48" s="1" t="n">
        <v>46139</v>
      </c>
      <c r="C48" s="1" t="n">
        <v>46191</v>
      </c>
      <c r="D48" t="inlineStr">
        <is>
          <t>VÄSTMANLANDS LÄN</t>
        </is>
      </c>
      <c r="E48" t="inlineStr">
        <is>
          <t>KUNGSÖR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38308-2023</t>
        </is>
      </c>
      <c r="B49" s="1" t="n">
        <v>45161</v>
      </c>
      <c r="C49" s="1" t="n">
        <v>46191</v>
      </c>
      <c r="D49" t="inlineStr">
        <is>
          <t>VÄSTMANLANDS LÄN</t>
        </is>
      </c>
      <c r="E49" t="inlineStr">
        <is>
          <t>KUNGSÖR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26257-2026</t>
        </is>
      </c>
      <c r="B50" s="1" t="n">
        <v>46182</v>
      </c>
      <c r="C50" s="1" t="n">
        <v>46191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</v>
      </c>
      <c r="C51" s="1" t="n">
        <v>46191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26274-2026</t>
        </is>
      </c>
      <c r="B52" s="1" t="n">
        <v>46182</v>
      </c>
      <c r="C52" s="1" t="n">
        <v>46191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33022-2025</t>
        </is>
      </c>
      <c r="B53" s="1" t="n">
        <v>45840</v>
      </c>
      <c r="C53" s="1" t="n">
        <v>46191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26029-2022</t>
        </is>
      </c>
      <c r="B54" s="1" t="n">
        <v>44734</v>
      </c>
      <c r="C54" s="1" t="n">
        <v>46191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3683-2023</t>
        </is>
      </c>
      <c r="B55" s="1" t="n">
        <v>44950</v>
      </c>
      <c r="C55" s="1" t="n">
        <v>46191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31883-2022</t>
        </is>
      </c>
      <c r="B56" s="1" t="n">
        <v>44777</v>
      </c>
      <c r="C56" s="1" t="n">
        <v>46191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23574-2023</t>
        </is>
      </c>
      <c r="B57" s="1" t="n">
        <v>45077</v>
      </c>
      <c r="C57" s="1" t="n">
        <v>46191</v>
      </c>
      <c r="D57" t="inlineStr">
        <is>
          <t>VÄSTMANLANDS LÄN</t>
        </is>
      </c>
      <c r="E57" t="inlineStr">
        <is>
          <t>KUNGSÖR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44720-2021</t>
        </is>
      </c>
      <c r="B58" s="1" t="n">
        <v>44438</v>
      </c>
      <c r="C58" s="1" t="n">
        <v>46191</v>
      </c>
      <c r="D58" t="inlineStr">
        <is>
          <t>VÄSTMANLANDS LÄN</t>
        </is>
      </c>
      <c r="E58" t="inlineStr">
        <is>
          <t>KUNGSÖR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27399-2026</t>
        </is>
      </c>
      <c r="B59" s="1" t="n">
        <v>46189</v>
      </c>
      <c r="C59" s="1" t="n">
        <v>46191</v>
      </c>
      <c r="D59" t="inlineStr">
        <is>
          <t>VÄSTMANLANDS LÄN</t>
        </is>
      </c>
      <c r="E59" t="inlineStr">
        <is>
          <t>KUNGSÖR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27400-2026</t>
        </is>
      </c>
      <c r="B60" s="1" t="n">
        <v>46189</v>
      </c>
      <c r="C60" s="1" t="n">
        <v>46191</v>
      </c>
      <c r="D60" t="inlineStr">
        <is>
          <t>VÄSTMANLANDS LÄN</t>
        </is>
      </c>
      <c r="E60" t="inlineStr">
        <is>
          <t>KUNGSÖR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41446-2023</t>
        </is>
      </c>
      <c r="B61" s="1" t="n">
        <v>45175</v>
      </c>
      <c r="C61" s="1" t="n">
        <v>46191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52789-2024</t>
        </is>
      </c>
      <c r="B62" s="1" t="n">
        <v>45610</v>
      </c>
      <c r="C62" s="1" t="n">
        <v>46191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30634-2023</t>
        </is>
      </c>
      <c r="B63" s="1" t="n">
        <v>45112</v>
      </c>
      <c r="C63" s="1" t="n">
        <v>46191</v>
      </c>
      <c r="D63" t="inlineStr">
        <is>
          <t>VÄSTMANLANDS LÄN</t>
        </is>
      </c>
      <c r="E63" t="inlineStr">
        <is>
          <t>KUNGSÖR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26382-2023</t>
        </is>
      </c>
      <c r="B64" s="1" t="n">
        <v>45092</v>
      </c>
      <c r="C64" s="1" t="n">
        <v>46191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20.3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24023-2025</t>
        </is>
      </c>
      <c r="B65" s="1" t="n">
        <v>45796</v>
      </c>
      <c r="C65" s="1" t="n">
        <v>46191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19420-2024</t>
        </is>
      </c>
      <c r="B66" s="1" t="n">
        <v>45429</v>
      </c>
      <c r="C66" s="1" t="n">
        <v>46191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60754-2024</t>
        </is>
      </c>
      <c r="B67" s="1" t="n">
        <v>45644</v>
      </c>
      <c r="C67" s="1" t="n">
        <v>46191</v>
      </c>
      <c r="D67" t="inlineStr">
        <is>
          <t>VÄSTMANLANDS LÄN</t>
        </is>
      </c>
      <c r="E67" t="inlineStr">
        <is>
          <t>KUNGSÖR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1040-2025</t>
        </is>
      </c>
      <c r="B68" s="1" t="n">
        <v>45666</v>
      </c>
      <c r="C68" s="1" t="n">
        <v>46191</v>
      </c>
      <c r="D68" t="inlineStr">
        <is>
          <t>VÄSTMANLANDS LÄN</t>
        </is>
      </c>
      <c r="E68" t="inlineStr">
        <is>
          <t>KUNGSÖR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59615-2021</t>
        </is>
      </c>
      <c r="B69" s="1" t="n">
        <v>44491</v>
      </c>
      <c r="C69" s="1" t="n">
        <v>46191</v>
      </c>
      <c r="D69" t="inlineStr">
        <is>
          <t>VÄSTMANLANDS LÄN</t>
        </is>
      </c>
      <c r="E69" t="inlineStr">
        <is>
          <t>KUNGSÖR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46191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33035-2025</t>
        </is>
      </c>
      <c r="B71" s="1" t="n">
        <v>45840</v>
      </c>
      <c r="C71" s="1" t="n">
        <v>46191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36638-2021</t>
        </is>
      </c>
      <c r="B72" s="1" t="n">
        <v>44392</v>
      </c>
      <c r="C72" s="1" t="n">
        <v>46191</v>
      </c>
      <c r="D72" t="inlineStr">
        <is>
          <t>VÄSTMANLANDS LÄN</t>
        </is>
      </c>
      <c r="E72" t="inlineStr">
        <is>
          <t>KUNGSÖR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11771-2025</t>
        </is>
      </c>
      <c r="B73" s="1" t="n">
        <v>45727</v>
      </c>
      <c r="C73" s="1" t="n">
        <v>46191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52809-2022</t>
        </is>
      </c>
      <c r="B74" s="1" t="n">
        <v>44875</v>
      </c>
      <c r="C74" s="1" t="n">
        <v>46191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16735-2023</t>
        </is>
      </c>
      <c r="B75" s="1" t="n">
        <v>45030</v>
      </c>
      <c r="C75" s="1" t="n">
        <v>46191</v>
      </c>
      <c r="D75" t="inlineStr">
        <is>
          <t>VÄSTMANLANDS LÄN</t>
        </is>
      </c>
      <c r="E75" t="inlineStr">
        <is>
          <t>KUNGSÖR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2026-06-18T13:20:49Z</dcterms:created>
  <dcterms:modified xmlns:dcterms="http://purl.org/dc/terms/" xmlns:xsi="http://www.w3.org/2001/XMLSchema-instance" xsi:type="dcterms:W3CDTF">2026-06-18T13:20:49Z</dcterms:modified>
</cp:coreProperties>
</file>