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9320-2025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45714</v>
      </c>
      <c r="E2" s="1" t="n">
        <v>46326</v>
      </c>
      <c r="F2" t="inlineStr">
        <is>
          <t>VÄSTMANLANDS LÄN</t>
        </is>
      </c>
      <c r="G2" t="inlineStr">
        <is>
          <t>KUNGSÖR</t>
        </is>
      </c>
      <c r="I2" t="n">
        <v>9.199999999999999</v>
      </c>
      <c r="J2" t="n">
        <v>5</v>
      </c>
      <c r="K2" t="n">
        <v>5</v>
      </c>
      <c r="L2" t="n">
        <v>7</v>
      </c>
      <c r="M2" t="n">
        <v>1</v>
      </c>
      <c r="N2" t="n">
        <v>0</v>
      </c>
      <c r="O2" t="n">
        <v>0</v>
      </c>
      <c r="P2" t="n">
        <v>0</v>
      </c>
      <c r="Q2" t="n">
        <v>8</v>
      </c>
      <c r="R2" t="n">
        <v>1</v>
      </c>
      <c r="S2" t="n">
        <v>16</v>
      </c>
      <c r="T2" t="n">
        <v>44</v>
      </c>
      <c r="U2" t="n">
        <v>44</v>
      </c>
      <c r="V2" s="2" t="inlineStr">
        <is>
          <t>Knärot
Gropticka
Kötticka
Orange taggsvamp
Tallkötticka
Talltita
Ullticka
Vedskivlav
Björksplintborre
Bronshjon
Mindre märgborre
Vedticka
Vågbandad barkbock
Spillkråka
Tjäder
Kungsfågel</t>
        </is>
      </c>
      <c r="W2">
        <f>HYPERLINK("https://klasma.github.io/Logging_1960/artfynd/A 9320-2025 artfynd.xlsx", "A 9320-2025")</f>
        <v/>
      </c>
      <c r="X2">
        <f>HYPERLINK("https://klasma.github.io/Logging_1960/kartor/A 9320-2025 karta.png", "A 9320-2025")</f>
        <v/>
      </c>
      <c r="Y2">
        <f>HYPERLINK("https://klasma.github.io/Logging_1960/kartor_geotiff/A 9320-2025 georefererad karta.tif", "A 9320-2025")</f>
        <v/>
      </c>
      <c r="Z2">
        <f>HYPERLINK("https://klasma.github.io/Logging_1960/knärot/A 9320-2025 karta knärot.png", "A 9320-2025")</f>
        <v/>
      </c>
      <c r="AA2">
        <f>HYPERLINK("https://klasma.github.io/Logging_1960/klagomål/A 9320-2025 FSC-klagomål.docx", "A 9320-2025")</f>
        <v/>
      </c>
      <c r="AB2">
        <f>HYPERLINK("https://klasma.github.io/Logging_1960/klagomålsmail/A 9320-2025 FSC-klagomål mail.docx", "A 9320-2025")</f>
        <v/>
      </c>
      <c r="AC2">
        <f>HYPERLINK("https://klasma.github.io/Logging_1960/tillsyn/A 9320-2025 tillsynsbegäran.docx", "A 9320-2025")</f>
        <v/>
      </c>
      <c r="AD2">
        <f>HYPERLINK("https://klasma.github.io/Logging_1960/tillsynsmail/A 9320-2025 tillsynsbegäran mail.docx", "A 9320-2025")</f>
        <v/>
      </c>
      <c r="AE2">
        <f>HYPERLINK("https://klasma.github.io/Logging_1960/fåglar/A 9320-2025 prioriterade fågelarter.docx", "A 9320-2025")</f>
        <v/>
      </c>
    </row>
    <row r="3" ht="15" customHeight="1">
      <c r="A3" t="inlineStr">
        <is>
          <t>A 8475-2025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45709</v>
      </c>
      <c r="E3" s="1" t="n">
        <v>46326</v>
      </c>
      <c r="F3" t="inlineStr">
        <is>
          <t>VÄSTMANLANDS LÄN</t>
        </is>
      </c>
      <c r="G3" t="inlineStr">
        <is>
          <t>KUNGSÖR</t>
        </is>
      </c>
      <c r="I3" t="n">
        <v>3.5</v>
      </c>
      <c r="J3" t="n">
        <v>4</v>
      </c>
      <c r="K3" t="n">
        <v>3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3</v>
      </c>
      <c r="R3" t="n">
        <v>1</v>
      </c>
      <c r="S3" t="n">
        <v>8</v>
      </c>
      <c r="T3" t="n">
        <v>15</v>
      </c>
      <c r="U3" t="n">
        <v>15</v>
      </c>
      <c r="V3" s="2" t="inlineStr">
        <is>
          <t>Knärot
Talltita
Ullticka
Brandticka
Grönpyrola
Vedticka
Spillkråka
Revlummer</t>
        </is>
      </c>
      <c r="W3">
        <f>HYPERLINK("https://klasma.github.io/Logging_1960/artfynd/A 8475-2025 artfynd.xlsx", "A 8475-2025")</f>
        <v/>
      </c>
      <c r="X3">
        <f>HYPERLINK("https://klasma.github.io/Logging_1960/kartor/A 8475-2025 karta.png", "A 8475-2025")</f>
        <v/>
      </c>
      <c r="Y3">
        <f>HYPERLINK("https://klasma.github.io/Logging_1960/kartor_geotiff/A 8475-2025 georefererad karta.tif", "A 8475-2025")</f>
        <v/>
      </c>
      <c r="Z3">
        <f>HYPERLINK("https://klasma.github.io/Logging_1960/knärot/A 8475-2025 karta knärot.png", "A 8475-2025")</f>
        <v/>
      </c>
      <c r="AA3">
        <f>HYPERLINK("https://klasma.github.io/Logging_1960/klagomål/A 8475-2025 FSC-klagomål.docx", "A 8475-2025")</f>
        <v/>
      </c>
      <c r="AB3">
        <f>HYPERLINK("https://klasma.github.io/Logging_1960/klagomålsmail/A 8475-2025 FSC-klagomål mail.docx", "A 8475-2025")</f>
        <v/>
      </c>
      <c r="AC3">
        <f>HYPERLINK("https://klasma.github.io/Logging_1960/tillsyn/A 8475-2025 tillsynsbegäran.docx", "A 8475-2025")</f>
        <v/>
      </c>
      <c r="AD3">
        <f>HYPERLINK("https://klasma.github.io/Logging_1960/tillsynsmail/A 8475-2025 tillsynsbegäran mail.docx", "A 8475-2025")</f>
        <v/>
      </c>
      <c r="AE3">
        <f>HYPERLINK("https://klasma.github.io/Logging_1960/fåglar/A 8475-2025 prioriterade fågelarter.docx", "A 8475-2025")</f>
        <v/>
      </c>
    </row>
    <row r="4" ht="15" customHeight="1">
      <c r="A4" t="inlineStr">
        <is>
          <t>A 37056-2026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46273</v>
      </c>
      <c r="E4" s="1" t="n">
        <v>46326</v>
      </c>
      <c r="F4" t="inlineStr">
        <is>
          <t>VÄSTMANLANDS LÄN</t>
        </is>
      </c>
      <c r="G4" t="inlineStr">
        <is>
          <t>KUNGSÖR</t>
        </is>
      </c>
      <c r="I4" t="n">
        <v>3.5</v>
      </c>
      <c r="J4" t="n">
        <v>4</v>
      </c>
      <c r="K4" t="n">
        <v>3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1</v>
      </c>
      <c r="S4" t="n">
        <v>8</v>
      </c>
      <c r="T4" t="n">
        <v>15</v>
      </c>
      <c r="U4" t="n">
        <v>0</v>
      </c>
      <c r="V4" s="2" t="inlineStr">
        <is>
          <t>Knärot
Talltita
Ullticka
Brandticka
Grönpyrola
Vedticka
Spillkråka
Revlummer</t>
        </is>
      </c>
      <c r="W4">
        <f>HYPERLINK("https://klasma.github.io/Logging_1960/artfynd/A 37056-2026 artfynd.xlsx", "A 37056-2026")</f>
        <v/>
      </c>
      <c r="X4">
        <f>HYPERLINK("https://klasma.github.io/Logging_1960/kartor/A 37056-2026 karta.png", "A 37056-2026")</f>
        <v/>
      </c>
      <c r="Y4">
        <f>HYPERLINK("https://klasma.github.io/Logging_1960/kartor_geotiff/A 37056-2026 georefererad karta.tif", "A 37056-2026")</f>
        <v/>
      </c>
      <c r="Z4">
        <f>HYPERLINK("https://klasma.github.io/Logging_1960/knärot/A 37056-2026 karta knärot.png", "A 37056-2026")</f>
        <v/>
      </c>
      <c r="AA4">
        <f>HYPERLINK("https://klasma.github.io/Logging_1960/klagomål/A 37056-2026 FSC-klagomål.docx", "A 37056-2026")</f>
        <v/>
      </c>
      <c r="AB4">
        <f>HYPERLINK("https://klasma.github.io/Logging_1960/klagomålsmail/A 37056-2026 FSC-klagomål mail.docx", "A 37056-2026")</f>
        <v/>
      </c>
      <c r="AC4">
        <f>HYPERLINK("https://klasma.github.io/Logging_1960/tillsyn/A 37056-2026 tillsynsbegäran.docx", "A 37056-2026")</f>
        <v/>
      </c>
      <c r="AD4">
        <f>HYPERLINK("https://klasma.github.io/Logging_1960/tillsynsmail/A 37056-2026 tillsynsbegäran mail.docx", "A 37056-2026")</f>
        <v/>
      </c>
      <c r="AE4">
        <f>HYPERLINK("https://klasma.github.io/Logging_1960/fåglar/A 37056-2026 prioriterade fågelarter.docx", "A 37056-2026")</f>
        <v/>
      </c>
    </row>
    <row r="5" ht="15" customHeight="1">
      <c r="A5" t="inlineStr">
        <is>
          <t>A 59332-2022</t>
        </is>
      </c>
      <c r="B5" t="inlineStr">
        <is>
          <t>avverkningsanmälan</t>
        </is>
      </c>
      <c r="C5" t="inlineStr">
        <is>
          <t>Avverkning för att bevara och utveckla /försöksver</t>
        </is>
      </c>
      <c r="D5" s="1" t="n">
        <v>44904</v>
      </c>
      <c r="E5" s="1" t="n">
        <v>46326</v>
      </c>
      <c r="F5" t="inlineStr">
        <is>
          <t>VÄSTMANLANDS LÄN</t>
        </is>
      </c>
      <c r="G5" t="inlineStr">
        <is>
          <t>KUNGSÖR</t>
        </is>
      </c>
      <c r="I5" t="n">
        <v>4.8</v>
      </c>
      <c r="J5" t="n">
        <v>0</v>
      </c>
      <c r="K5" t="n">
        <v>5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7</v>
      </c>
      <c r="T5" t="n">
        <v>12</v>
      </c>
      <c r="U5" t="n">
        <v>10</v>
      </c>
      <c r="V5" s="2" t="inlineStr">
        <is>
          <t>Ekticka
Ullticka
Brun nållav
Fällmossa
Hasselticka
Lönnlav
Rostfläck</t>
        </is>
      </c>
      <c r="W5">
        <f>HYPERLINK("https://klasma.github.io/Logging_1960/artfynd/A 59332-2022 artfynd.xlsx", "A 59332-2022")</f>
        <v/>
      </c>
      <c r="X5">
        <f>HYPERLINK("https://klasma.github.io/Logging_1960/kartor/A 59332-2022 karta.png", "A 59332-2022")</f>
        <v/>
      </c>
      <c r="Y5">
        <f>HYPERLINK("https://klasma.github.io/Logging_1960/kartor_geotiff/A 59332-2022 georefererad karta.tif", "A 59332-2022")</f>
        <v/>
      </c>
      <c r="AA5">
        <f>HYPERLINK("https://klasma.github.io/Logging_1960/klagomål/A 59332-2022 FSC-klagomål.docx", "A 59332-2022")</f>
        <v/>
      </c>
      <c r="AB5">
        <f>HYPERLINK("https://klasma.github.io/Logging_1960/klagomålsmail/A 59332-2022 FSC-klagomål mail.docx", "A 59332-2022")</f>
        <v/>
      </c>
      <c r="AC5">
        <f>HYPERLINK("https://klasma.github.io/Logging_1960/tillsyn/A 59332-2022 tillsynsbegäran.docx", "A 59332-2022")</f>
        <v/>
      </c>
      <c r="AD5">
        <f>HYPERLINK("https://klasma.github.io/Logging_1960/tillsynsmail/A 59332-2022 tillsynsbegäran mail.docx", "A 59332-2022")</f>
        <v/>
      </c>
    </row>
    <row r="6" ht="15" customHeight="1">
      <c r="A6" t="inlineStr">
        <is>
          <t>A 60736-2024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45644</v>
      </c>
      <c r="E6" s="1" t="n">
        <v>46326</v>
      </c>
      <c r="F6" t="inlineStr">
        <is>
          <t>VÄSTMANLANDS LÄN</t>
        </is>
      </c>
      <c r="G6" t="inlineStr">
        <is>
          <t>KUNGSÖR</t>
        </is>
      </c>
      <c r="I6" t="n">
        <v>4</v>
      </c>
      <c r="J6" t="n">
        <v>6</v>
      </c>
      <c r="K6" t="n">
        <v>0</v>
      </c>
      <c r="L6" t="n">
        <v>2</v>
      </c>
      <c r="M6" t="n">
        <v>2</v>
      </c>
      <c r="N6" t="n">
        <v>0</v>
      </c>
      <c r="O6" t="n">
        <v>0</v>
      </c>
      <c r="P6" t="n">
        <v>0</v>
      </c>
      <c r="Q6" t="n">
        <v>4</v>
      </c>
      <c r="R6" t="n">
        <v>2</v>
      </c>
      <c r="S6" t="n">
        <v>6</v>
      </c>
      <c r="T6" t="n">
        <v>6</v>
      </c>
      <c r="U6" t="n">
        <v>0</v>
      </c>
      <c r="V6" s="2" t="inlineStr">
        <is>
          <t>Tofsvipa
Tornseglare
Gulsparv
Sädesärla
Buskskvätta
Kråka</t>
        </is>
      </c>
      <c r="W6">
        <f>HYPERLINK("https://klasma.github.io/Logging_1960/artfynd/A 60736-2024 artfynd.xlsx", "A 60736-2024")</f>
        <v/>
      </c>
      <c r="X6">
        <f>HYPERLINK("https://klasma.github.io/Logging_1960/kartor/A 60736-2024 karta.png", "A 60736-2024")</f>
        <v/>
      </c>
      <c r="Y6">
        <f>HYPERLINK("https://klasma.github.io/Logging_1960/kartor_geotiff/A 60736-2024 georefererad karta.tif", "A 60736-2024")</f>
        <v/>
      </c>
      <c r="AA6">
        <f>HYPERLINK("https://klasma.github.io/Logging_1960/klagomål/A 60736-2024 FSC-klagomål.docx", "A 60736-2024")</f>
        <v/>
      </c>
      <c r="AB6">
        <f>HYPERLINK("https://klasma.github.io/Logging_1960/klagomålsmail/A 60736-2024 FSC-klagomål mail.docx", "A 60736-2024")</f>
        <v/>
      </c>
      <c r="AC6">
        <f>HYPERLINK("https://klasma.github.io/Logging_1960/tillsyn/A 60736-2024 tillsynsbegäran.docx", "A 60736-2024")</f>
        <v/>
      </c>
      <c r="AD6">
        <f>HYPERLINK("https://klasma.github.io/Logging_1960/tillsynsmail/A 60736-2024 tillsynsbegäran mail.docx", "A 60736-2024")</f>
        <v/>
      </c>
      <c r="AE6">
        <f>HYPERLINK("https://klasma.github.io/Logging_1960/fåglar/A 60736-2024 prioriterade fågelarter.docx", "A 60736-2024")</f>
        <v/>
      </c>
    </row>
    <row r="7" ht="15" customHeight="1">
      <c r="A7" t="inlineStr">
        <is>
          <t>A 7771-2024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45349</v>
      </c>
      <c r="E7" s="1" t="n">
        <v>46326</v>
      </c>
      <c r="F7" t="inlineStr">
        <is>
          <t>VÄSTMANLANDS LÄN</t>
        </is>
      </c>
      <c r="G7" t="inlineStr">
        <is>
          <t>KUNGSÖR</t>
        </is>
      </c>
      <c r="I7" t="n">
        <v>4.1</v>
      </c>
      <c r="J7" t="n">
        <v>2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5</v>
      </c>
      <c r="T7" t="n">
        <v>8</v>
      </c>
      <c r="U7" t="n">
        <v>6</v>
      </c>
      <c r="V7" s="2" t="inlineStr">
        <is>
          <t>Blekticka
Ullticka
Hasselticka
Blåsippa
Spillkråka</t>
        </is>
      </c>
      <c r="W7">
        <f>HYPERLINK("https://klasma.github.io/Logging_1960/artfynd/A 7771-2024 artfynd.xlsx", "A 7771-2024")</f>
        <v/>
      </c>
      <c r="X7">
        <f>HYPERLINK("https://klasma.github.io/Logging_1960/kartor/A 7771-2024 karta.png", "A 7771-2024")</f>
        <v/>
      </c>
      <c r="Y7">
        <f>HYPERLINK("https://klasma.github.io/Logging_1960/kartor_geotiff/A 7771-2024 georefererad karta.tif", "A 7771-2024")</f>
        <v/>
      </c>
      <c r="AA7">
        <f>HYPERLINK("https://klasma.github.io/Logging_1960/klagomål/A 7771-2024 FSC-klagomål.docx", "A 7771-2024")</f>
        <v/>
      </c>
      <c r="AB7">
        <f>HYPERLINK("https://klasma.github.io/Logging_1960/klagomålsmail/A 7771-2024 FSC-klagomål mail.docx", "A 7771-2024")</f>
        <v/>
      </c>
      <c r="AC7">
        <f>HYPERLINK("https://klasma.github.io/Logging_1960/tillsyn/A 7771-2024 tillsynsbegäran.docx", "A 7771-2024")</f>
        <v/>
      </c>
      <c r="AD7">
        <f>HYPERLINK("https://klasma.github.io/Logging_1960/tillsynsmail/A 7771-2024 tillsynsbegäran mail.docx", "A 7771-2024")</f>
        <v/>
      </c>
      <c r="AE7">
        <f>HYPERLINK("https://klasma.github.io/Logging_1960/fåglar/A 7771-2024 prioriterade fågelarter.docx", "A 7771-2024")</f>
        <v/>
      </c>
    </row>
    <row r="8" ht="15" customHeight="1">
      <c r="A8" t="inlineStr">
        <is>
          <t>A 2850-2026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46038</v>
      </c>
      <c r="E8" s="1" t="n">
        <v>46326</v>
      </c>
      <c r="F8" t="inlineStr">
        <is>
          <t>VÄSTMANLANDS LÄN</t>
        </is>
      </c>
      <c r="G8" t="inlineStr">
        <is>
          <t>KUNGSÖR</t>
        </is>
      </c>
      <c r="I8" t="n">
        <v>3.1</v>
      </c>
      <c r="J8" t="n">
        <v>2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3</v>
      </c>
      <c r="T8" t="n">
        <v>3</v>
      </c>
      <c r="U8" t="n">
        <v>3</v>
      </c>
      <c r="V8" s="2" t="inlineStr">
        <is>
          <t>Talltita
Björksplintborre
Kungsfågel</t>
        </is>
      </c>
      <c r="W8">
        <f>HYPERLINK("https://klasma.github.io/Logging_1960/artfynd/A 2850-2026 artfynd.xlsx", "A 2850-2026")</f>
        <v/>
      </c>
      <c r="X8">
        <f>HYPERLINK("https://klasma.github.io/Logging_1960/kartor/A 2850-2026 karta.png", "A 2850-2026")</f>
        <v/>
      </c>
      <c r="Y8">
        <f>HYPERLINK("https://klasma.github.io/Logging_1960/kartor_geotiff/A 2850-2026 georefererad karta.tif", "A 2850-2026")</f>
        <v/>
      </c>
      <c r="AA8">
        <f>HYPERLINK("https://klasma.github.io/Logging_1960/klagomål/A 2850-2026 FSC-klagomål.docx", "A 2850-2026")</f>
        <v/>
      </c>
      <c r="AB8">
        <f>HYPERLINK("https://klasma.github.io/Logging_1960/klagomålsmail/A 2850-2026 FSC-klagomål mail.docx", "A 2850-2026")</f>
        <v/>
      </c>
      <c r="AC8">
        <f>HYPERLINK("https://klasma.github.io/Logging_1960/tillsyn/A 2850-2026 tillsynsbegäran.docx", "A 2850-2026")</f>
        <v/>
      </c>
      <c r="AD8">
        <f>HYPERLINK("https://klasma.github.io/Logging_1960/tillsynsmail/A 2850-2026 tillsynsbegäran mail.docx", "A 2850-2026")</f>
        <v/>
      </c>
      <c r="AE8">
        <f>HYPERLINK("https://klasma.github.io/Logging_1960/fåglar/A 2850-2026 prioriterade fågelarter.docx", "A 2850-2026")</f>
        <v/>
      </c>
    </row>
    <row r="9" ht="15" customHeight="1">
      <c r="A9" t="inlineStr">
        <is>
          <t>A 53870-2022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44880</v>
      </c>
      <c r="E9" s="1" t="n">
        <v>46326</v>
      </c>
      <c r="F9" t="inlineStr">
        <is>
          <t>VÄSTMANLANDS LÄN</t>
        </is>
      </c>
      <c r="G9" t="inlineStr">
        <is>
          <t>KUNGSÖR</t>
        </is>
      </c>
      <c r="H9" t="inlineStr">
        <is>
          <t>Allmännings- och besparingsskogar</t>
        </is>
      </c>
      <c r="I9" t="n">
        <v>2.3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2</v>
      </c>
      <c r="U9" t="n">
        <v>1</v>
      </c>
      <c r="V9" s="2" t="inlineStr">
        <is>
          <t>Blåsippa</t>
        </is>
      </c>
      <c r="W9">
        <f>HYPERLINK("https://klasma.github.io/Logging_1960/artfynd/A 53870-2022 artfynd.xlsx", "A 53870-2022")</f>
        <v/>
      </c>
      <c r="X9">
        <f>HYPERLINK("https://klasma.github.io/Logging_1960/kartor/A 53870-2022 karta.png", "A 53870-2022")</f>
        <v/>
      </c>
      <c r="Y9">
        <f>HYPERLINK("https://klasma.github.io/Logging_1960/kartor_geotiff/A 53870-2022 georefererad karta.tif", "A 53870-2022")</f>
        <v/>
      </c>
      <c r="AA9">
        <f>HYPERLINK("https://klasma.github.io/Logging_1960/klagomål/A 53870-2022 FSC-klagomål.docx", "A 53870-2022")</f>
        <v/>
      </c>
      <c r="AB9">
        <f>HYPERLINK("https://klasma.github.io/Logging_1960/klagomålsmail/A 53870-2022 FSC-klagomål mail.docx", "A 53870-2022")</f>
        <v/>
      </c>
      <c r="AC9">
        <f>HYPERLINK("https://klasma.github.io/Logging_1960/tillsyn/A 53870-2022 tillsynsbegäran.docx", "A 53870-2022")</f>
        <v/>
      </c>
      <c r="AD9">
        <f>HYPERLINK("https://klasma.github.io/Logging_1960/tillsynsmail/A 53870-2022 tillsynsbegäran mail.docx", "A 53870-2022")</f>
        <v/>
      </c>
    </row>
    <row r="10" ht="15" customHeight="1">
      <c r="A10" t="inlineStr">
        <is>
          <t>A 25961-2026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46181</v>
      </c>
      <c r="E10" s="1" t="n">
        <v>46326</v>
      </c>
      <c r="F10" t="inlineStr">
        <is>
          <t>VÄSTMANLANDS LÄN</t>
        </is>
      </c>
      <c r="G10" t="inlineStr">
        <is>
          <t>KUNGSÖR</t>
        </is>
      </c>
      <c r="I10" t="n">
        <v>7.3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2</v>
      </c>
      <c r="U10" t="n">
        <v>0</v>
      </c>
      <c r="V10" s="2" t="inlineStr">
        <is>
          <t>Knärot</t>
        </is>
      </c>
      <c r="W10">
        <f>HYPERLINK("https://klasma.github.io/Logging_1960/artfynd/A 25961-2026 artfynd.xlsx", "A 25961-2026")</f>
        <v/>
      </c>
      <c r="X10">
        <f>HYPERLINK("https://klasma.github.io/Logging_1960/kartor/A 25961-2026 karta.png", "A 25961-2026")</f>
        <v/>
      </c>
      <c r="Y10">
        <f>HYPERLINK("https://klasma.github.io/Logging_1960/kartor_geotiff/A 25961-2026 georefererad karta.tif", "A 25961-2026")</f>
        <v/>
      </c>
      <c r="Z10">
        <f>HYPERLINK("https://klasma.github.io/Logging_1960/knärot/A 25961-2026 karta knärot.png", "A 25961-2026")</f>
        <v/>
      </c>
      <c r="AA10">
        <f>HYPERLINK("https://klasma.github.io/Logging_1960/klagomål/A 25961-2026 FSC-klagomål.docx", "A 25961-2026")</f>
        <v/>
      </c>
      <c r="AB10">
        <f>HYPERLINK("https://klasma.github.io/Logging_1960/klagomålsmail/A 25961-2026 FSC-klagomål mail.docx", "A 25961-2026")</f>
        <v/>
      </c>
      <c r="AC10">
        <f>HYPERLINK("https://klasma.github.io/Logging_1960/tillsyn/A 25961-2026 tillsynsbegäran.docx", "A 25961-2026")</f>
        <v/>
      </c>
      <c r="AD10">
        <f>HYPERLINK("https://klasma.github.io/Logging_1960/tillsynsmail/A 25961-2026 tillsynsbegäran mail.docx", "A 25961-2026")</f>
        <v/>
      </c>
    </row>
    <row r="11" ht="15" customHeight="1">
      <c r="A11" t="inlineStr">
        <is>
          <t>A 17093-2022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44677</v>
      </c>
      <c r="E11" s="1" t="n">
        <v>46326</v>
      </c>
      <c r="F11" t="inlineStr">
        <is>
          <t>VÄSTMANLANDS LÄN</t>
        </is>
      </c>
      <c r="G11" t="inlineStr">
        <is>
          <t>KUNGSÖR</t>
        </is>
      </c>
      <c r="H11" t="inlineStr">
        <is>
          <t>Kommuner</t>
        </is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6757-2022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44602</v>
      </c>
      <c r="E12" s="1" t="n">
        <v>46326</v>
      </c>
      <c r="F12" t="inlineStr">
        <is>
          <t>VÄSTMANLANDS LÄN</t>
        </is>
      </c>
      <c r="G12" t="inlineStr">
        <is>
          <t>KUNGSÖR</t>
        </is>
      </c>
      <c r="I12" t="n">
        <v>6.4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36419-2022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44803</v>
      </c>
      <c r="E13" s="1" t="n">
        <v>46326</v>
      </c>
      <c r="F13" t="inlineStr">
        <is>
          <t>VÄSTMANLANDS LÄN</t>
        </is>
      </c>
      <c r="G13" t="inlineStr">
        <is>
          <t>KUNGSÖR</t>
        </is>
      </c>
      <c r="I13" t="n">
        <v>16.2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72700-2021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44545</v>
      </c>
      <c r="E14" s="1" t="n">
        <v>46326</v>
      </c>
      <c r="F14" t="inlineStr">
        <is>
          <t>VÄSTMANLANDS LÄN</t>
        </is>
      </c>
      <c r="G14" t="inlineStr">
        <is>
          <t>KUNGSÖR</t>
        </is>
      </c>
      <c r="I14" t="n">
        <v>2.1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6319-2022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44600</v>
      </c>
      <c r="E15" s="1" t="n">
        <v>46326</v>
      </c>
      <c r="F15" t="inlineStr">
        <is>
          <t>VÄSTMANLANDS LÄN</t>
        </is>
      </c>
      <c r="G15" t="inlineStr">
        <is>
          <t>KUNGSÖR</t>
        </is>
      </c>
      <c r="I15" t="n">
        <v>4.8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9813-2022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44620</v>
      </c>
      <c r="E16" s="1" t="n">
        <v>46326</v>
      </c>
      <c r="F16" t="inlineStr">
        <is>
          <t>VÄSTMANLANDS LÄN</t>
        </is>
      </c>
      <c r="G16" t="inlineStr">
        <is>
          <t>KUNGSÖR</t>
        </is>
      </c>
      <c r="I16" t="n">
        <v>4.3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41446-2023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45175</v>
      </c>
      <c r="E17" s="1" t="n">
        <v>46326</v>
      </c>
      <c r="F17" t="inlineStr">
        <is>
          <t>VÄSTMANLANDS LÄN</t>
        </is>
      </c>
      <c r="G17" t="inlineStr">
        <is>
          <t>KUNGSÖR</t>
        </is>
      </c>
      <c r="H17" t="inlineStr">
        <is>
          <t>Allmännings- och besparingsskogar</t>
        </is>
      </c>
      <c r="I17" t="n">
        <v>8.4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30621-2023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45112</v>
      </c>
      <c r="E18" s="1" t="n">
        <v>46326</v>
      </c>
      <c r="F18" t="inlineStr">
        <is>
          <t>VÄSTMANLANDS LÄN</t>
        </is>
      </c>
      <c r="G18" t="inlineStr">
        <is>
          <t>KUNGSÖR</t>
        </is>
      </c>
      <c r="I18" t="n">
        <v>3.2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30623-2023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45112</v>
      </c>
      <c r="E19" s="1" t="n">
        <v>46326</v>
      </c>
      <c r="F19" t="inlineStr">
        <is>
          <t>VÄSTMANLANDS LÄN</t>
        </is>
      </c>
      <c r="G19" t="inlineStr">
        <is>
          <t>KUNGSÖR</t>
        </is>
      </c>
      <c r="I19" t="n">
        <v>2.6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51096-2024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45603</v>
      </c>
      <c r="E20" s="1" t="n">
        <v>46326</v>
      </c>
      <c r="F20" t="inlineStr">
        <is>
          <t>VÄSTMANLANDS LÄN</t>
        </is>
      </c>
      <c r="G20" t="inlineStr">
        <is>
          <t>KUNGSÖR</t>
        </is>
      </c>
      <c r="I20" t="n">
        <v>1.3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40607-2024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45556</v>
      </c>
      <c r="E21" s="1" t="n">
        <v>46326</v>
      </c>
      <c r="F21" t="inlineStr">
        <is>
          <t>VÄSTMANLANDS LÄN</t>
        </is>
      </c>
      <c r="G21" t="inlineStr">
        <is>
          <t>KUNGSÖR</t>
        </is>
      </c>
      <c r="I21" t="n">
        <v>3.2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11771-2025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45727</v>
      </c>
      <c r="E22" s="1" t="n">
        <v>46326</v>
      </c>
      <c r="F22" t="inlineStr">
        <is>
          <t>VÄSTMANLANDS LÄN</t>
        </is>
      </c>
      <c r="G22" t="inlineStr">
        <is>
          <t>KUNGSÖR</t>
        </is>
      </c>
      <c r="I22" t="n">
        <v>0.9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1040-2025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45666</v>
      </c>
      <c r="E23" s="1" t="n">
        <v>46326</v>
      </c>
      <c r="F23" t="inlineStr">
        <is>
          <t>VÄSTMANLANDS LÄN</t>
        </is>
      </c>
      <c r="G23" t="inlineStr">
        <is>
          <t>KUNGSÖR</t>
        </is>
      </c>
      <c r="I23" t="n">
        <v>1.6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59805-2024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45639</v>
      </c>
      <c r="E24" s="1" t="n">
        <v>46326</v>
      </c>
      <c r="F24" t="inlineStr">
        <is>
          <t>VÄSTMANLANDS LÄN</t>
        </is>
      </c>
      <c r="G24" t="inlineStr">
        <is>
          <t>KUNGSÖR</t>
        </is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39717-2023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45167</v>
      </c>
      <c r="E25" s="1" t="n">
        <v>46326</v>
      </c>
      <c r="F25" t="inlineStr">
        <is>
          <t>VÄSTMANLANDS LÄN</t>
        </is>
      </c>
      <c r="G25" t="inlineStr">
        <is>
          <t>KUNGSÖR</t>
        </is>
      </c>
      <c r="I25" t="n">
        <v>2.3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38308-2023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45161</v>
      </c>
      <c r="E26" s="1" t="n">
        <v>46326</v>
      </c>
      <c r="F26" t="inlineStr">
        <is>
          <t>VÄSTMANLANDS LÄN</t>
        </is>
      </c>
      <c r="G26" t="inlineStr">
        <is>
          <t>KUNGSÖR</t>
        </is>
      </c>
      <c r="I26" t="n">
        <v>2.9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55003-2022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44886</v>
      </c>
      <c r="E27" s="1" t="n">
        <v>46326</v>
      </c>
      <c r="F27" t="inlineStr">
        <is>
          <t>VÄSTMANLANDS LÄN</t>
        </is>
      </c>
      <c r="G27" t="inlineStr">
        <is>
          <t>KUNGSÖR</t>
        </is>
      </c>
      <c r="I27" t="n">
        <v>6.6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47123-2024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45586</v>
      </c>
      <c r="E28" s="1" t="n">
        <v>46326</v>
      </c>
      <c r="F28" t="inlineStr">
        <is>
          <t>VÄSTMANLANDS LÄN</t>
        </is>
      </c>
      <c r="G28" t="inlineStr">
        <is>
          <t>KUNGSÖR</t>
        </is>
      </c>
      <c r="I28" t="n">
        <v>5.3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40815-2022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44824</v>
      </c>
      <c r="E29" s="1" t="n">
        <v>46326</v>
      </c>
      <c r="F29" t="inlineStr">
        <is>
          <t>VÄSTMANLANDS LÄN</t>
        </is>
      </c>
      <c r="G29" t="inlineStr">
        <is>
          <t>KUNGSÖR</t>
        </is>
      </c>
      <c r="I29" t="n">
        <v>15.9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10516-2022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44623</v>
      </c>
      <c r="E30" s="1" t="n">
        <v>46326</v>
      </c>
      <c r="F30" t="inlineStr">
        <is>
          <t>VÄSTMANLANDS LÄN</t>
        </is>
      </c>
      <c r="G30" t="inlineStr">
        <is>
          <t>KUNGSÖR</t>
        </is>
      </c>
      <c r="I30" t="n">
        <v>2.1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10517-2022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44623</v>
      </c>
      <c r="E31" s="1" t="n">
        <v>46326</v>
      </c>
      <c r="F31" t="inlineStr">
        <is>
          <t>VÄSTMANLANDS LÄN</t>
        </is>
      </c>
      <c r="G31" t="inlineStr">
        <is>
          <t>KUNGSÖR</t>
        </is>
      </c>
      <c r="I31" t="n">
        <v>1.2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10298-2026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46076</v>
      </c>
      <c r="E32" s="1" t="n">
        <v>46326</v>
      </c>
      <c r="F32" t="inlineStr">
        <is>
          <t>VÄSTMANLANDS LÄN</t>
        </is>
      </c>
      <c r="G32" t="inlineStr">
        <is>
          <t>KUNGSÖR</t>
        </is>
      </c>
      <c r="I32" t="n">
        <v>1.5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6734-2022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44602</v>
      </c>
      <c r="E33" s="1" t="n">
        <v>46326</v>
      </c>
      <c r="F33" t="inlineStr">
        <is>
          <t>VÄSTMANLANDS LÄN</t>
        </is>
      </c>
      <c r="G33" t="inlineStr">
        <is>
          <t>KUNGSÖR</t>
        </is>
      </c>
      <c r="I33" t="n">
        <v>32.3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30634-2023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45112</v>
      </c>
      <c r="E34" s="1" t="n">
        <v>46326</v>
      </c>
      <c r="F34" t="inlineStr">
        <is>
          <t>VÄSTMANLANDS LÄN</t>
        </is>
      </c>
      <c r="G34" t="inlineStr">
        <is>
          <t>KUNGSÖR</t>
        </is>
      </c>
      <c r="I34" t="n">
        <v>6.2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52795-2023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45226</v>
      </c>
      <c r="E35" s="1" t="n">
        <v>46326</v>
      </c>
      <c r="F35" t="inlineStr">
        <is>
          <t>VÄSTMANLANDS LÄN</t>
        </is>
      </c>
      <c r="G35" t="inlineStr">
        <is>
          <t>KUNGSÖR</t>
        </is>
      </c>
      <c r="I35" t="n">
        <v>3.7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33022-2025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45840</v>
      </c>
      <c r="E36" s="1" t="n">
        <v>46326</v>
      </c>
      <c r="F36" t="inlineStr">
        <is>
          <t>VÄSTMANLANDS LÄN</t>
        </is>
      </c>
      <c r="G36" t="inlineStr">
        <is>
          <t>KUNGSÖR</t>
        </is>
      </c>
      <c r="I36" t="n">
        <v>1.5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61260-2025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46000</v>
      </c>
      <c r="E37" s="1" t="n">
        <v>46326</v>
      </c>
      <c r="F37" t="inlineStr">
        <is>
          <t>VÄSTMANLANDS LÄN</t>
        </is>
      </c>
      <c r="G37" t="inlineStr">
        <is>
          <t>KUNGSÖR</t>
        </is>
      </c>
      <c r="I37" t="n">
        <v>4.4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16735-2023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45030</v>
      </c>
      <c r="E38" s="1" t="n">
        <v>46326</v>
      </c>
      <c r="F38" t="inlineStr">
        <is>
          <t>VÄSTMANLANDS LÄN</t>
        </is>
      </c>
      <c r="G38" t="inlineStr">
        <is>
          <t>KUNGSÖR</t>
        </is>
      </c>
      <c r="I38" t="n">
        <v>8.699999999999999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19082-2023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45048</v>
      </c>
      <c r="E39" s="1" t="n">
        <v>46326</v>
      </c>
      <c r="F39" t="inlineStr">
        <is>
          <t>VÄSTMANLANDS LÄN</t>
        </is>
      </c>
      <c r="G39" t="inlineStr">
        <is>
          <t>KUNGSÖR</t>
        </is>
      </c>
      <c r="H39" t="inlineStr">
        <is>
          <t>Allmännings- och besparingsskogar</t>
        </is>
      </c>
      <c r="I39" t="n">
        <v>6.5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26029-2022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44734</v>
      </c>
      <c r="E40" s="1" t="n">
        <v>46326</v>
      </c>
      <c r="F40" t="inlineStr">
        <is>
          <t>VÄSTMANLANDS LÄN</t>
        </is>
      </c>
      <c r="G40" t="inlineStr">
        <is>
          <t>KUNGSÖR</t>
        </is>
      </c>
      <c r="H40" t="inlineStr">
        <is>
          <t>Allmännings- och besparingsskogar</t>
        </is>
      </c>
      <c r="I40" t="n">
        <v>9.699999999999999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52802-2022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44875</v>
      </c>
      <c r="E41" s="1" t="n">
        <v>46326</v>
      </c>
      <c r="F41" t="inlineStr">
        <is>
          <t>VÄSTMANLANDS LÄN</t>
        </is>
      </c>
      <c r="G41" t="inlineStr">
        <is>
          <t>KUNGSÖR</t>
        </is>
      </c>
      <c r="H41" t="inlineStr">
        <is>
          <t>Allmännings- och besparingsskogar</t>
        </is>
      </c>
      <c r="I41" t="n">
        <v>5.8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39269-2023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45166</v>
      </c>
      <c r="E42" s="1" t="n">
        <v>46326</v>
      </c>
      <c r="F42" t="inlineStr">
        <is>
          <t>VÄSTMANLANDS LÄN</t>
        </is>
      </c>
      <c r="G42" t="inlineStr">
        <is>
          <t>KUNGSÖR</t>
        </is>
      </c>
      <c r="I42" t="n">
        <v>3.3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26274-2026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46182</v>
      </c>
      <c r="E43" s="1" t="n">
        <v>46326</v>
      </c>
      <c r="F43" t="inlineStr">
        <is>
          <t>VÄSTMANLANDS LÄN</t>
        </is>
      </c>
      <c r="G43" t="inlineStr">
        <is>
          <t>KUNGSÖR</t>
        </is>
      </c>
      <c r="I43" t="n">
        <v>0.7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26257-2026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46182</v>
      </c>
      <c r="E44" s="1" t="n">
        <v>46326</v>
      </c>
      <c r="F44" t="inlineStr">
        <is>
          <t>VÄSTMANLANDS LÄN</t>
        </is>
      </c>
      <c r="G44" t="inlineStr">
        <is>
          <t>KUNGSÖR</t>
        </is>
      </c>
      <c r="I44" t="n">
        <v>1.3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27399-2026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46189</v>
      </c>
      <c r="E45" s="1" t="n">
        <v>46326</v>
      </c>
      <c r="F45" t="inlineStr">
        <is>
          <t>VÄSTMANLANDS LÄN</t>
        </is>
      </c>
      <c r="G45" t="inlineStr">
        <is>
          <t>KUNGSÖR</t>
        </is>
      </c>
      <c r="I45" t="n">
        <v>1.4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27400-2026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46189</v>
      </c>
      <c r="E46" s="1" t="n">
        <v>46326</v>
      </c>
      <c r="F46" t="inlineStr">
        <is>
          <t>VÄSTMANLANDS LÄN</t>
        </is>
      </c>
      <c r="G46" t="inlineStr">
        <is>
          <t>KUNGSÖR</t>
        </is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19266-2024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45428</v>
      </c>
      <c r="E47" s="1" t="n">
        <v>46326</v>
      </c>
      <c r="F47" t="inlineStr">
        <is>
          <t>VÄSTMANLANDS LÄN</t>
        </is>
      </c>
      <c r="G47" t="inlineStr">
        <is>
          <t>KUNGSÖR</t>
        </is>
      </c>
      <c r="I47" t="n">
        <v>3.8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52809-2022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44875</v>
      </c>
      <c r="E48" s="1" t="n">
        <v>46326</v>
      </c>
      <c r="F48" t="inlineStr">
        <is>
          <t>VÄSTMANLANDS LÄN</t>
        </is>
      </c>
      <c r="G48" t="inlineStr">
        <is>
          <t>KUNGSÖR</t>
        </is>
      </c>
      <c r="H48" t="inlineStr">
        <is>
          <t>Allmännings- och besparingsskogar</t>
        </is>
      </c>
      <c r="I48" t="n">
        <v>2.5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3683-2023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44950</v>
      </c>
      <c r="E49" s="1" t="n">
        <v>46326</v>
      </c>
      <c r="F49" t="inlineStr">
        <is>
          <t>VÄSTMANLANDS LÄN</t>
        </is>
      </c>
      <c r="G49" t="inlineStr">
        <is>
          <t>KUNGSÖR</t>
        </is>
      </c>
      <c r="H49" t="inlineStr">
        <is>
          <t>Allmännings- och besparingsskogar</t>
        </is>
      </c>
      <c r="I49" t="n">
        <v>6.3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1906-2022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44575</v>
      </c>
      <c r="E50" s="1" t="n">
        <v>46326</v>
      </c>
      <c r="F50" t="inlineStr">
        <is>
          <t>VÄSTMANLANDS LÄN</t>
        </is>
      </c>
      <c r="G50" t="inlineStr">
        <is>
          <t>KUNGSÖR</t>
        </is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59853-2022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44908</v>
      </c>
      <c r="E51" s="1" t="n">
        <v>46326</v>
      </c>
      <c r="F51" t="inlineStr">
        <is>
          <t>VÄSTMANLANDS LÄN</t>
        </is>
      </c>
      <c r="G51" t="inlineStr">
        <is>
          <t>KUNGSÖR</t>
        </is>
      </c>
      <c r="I51" t="n">
        <v>0.7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8193-2023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44974</v>
      </c>
      <c r="E52" s="1" t="n">
        <v>46326</v>
      </c>
      <c r="F52" t="inlineStr">
        <is>
          <t>VÄSTMANLANDS LÄN</t>
        </is>
      </c>
      <c r="G52" t="inlineStr">
        <is>
          <t>KUNGSÖR</t>
        </is>
      </c>
      <c r="H52" t="inlineStr">
        <is>
          <t>Allmännings- och besparingsskogar</t>
        </is>
      </c>
      <c r="I52" t="n">
        <v>10.5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8228-2023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44974</v>
      </c>
      <c r="E53" s="1" t="n">
        <v>46326</v>
      </c>
      <c r="F53" t="inlineStr">
        <is>
          <t>VÄSTMANLANDS LÄN</t>
        </is>
      </c>
      <c r="G53" t="inlineStr">
        <is>
          <t>KUNGSÖR</t>
        </is>
      </c>
      <c r="I53" t="n">
        <v>13.9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31883-2022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44777</v>
      </c>
      <c r="E54" s="1" t="n">
        <v>46326</v>
      </c>
      <c r="F54" t="inlineStr">
        <is>
          <t>VÄSTMANLANDS LÄN</t>
        </is>
      </c>
      <c r="G54" t="inlineStr">
        <is>
          <t>KUNGSÖR</t>
        </is>
      </c>
      <c r="I54" t="n">
        <v>1.5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23574-2023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45077</v>
      </c>
      <c r="E55" s="1" t="n">
        <v>46326</v>
      </c>
      <c r="F55" t="inlineStr">
        <is>
          <t>VÄSTMANLANDS LÄN</t>
        </is>
      </c>
      <c r="G55" t="inlineStr">
        <is>
          <t>KUNGSÖR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26382-2023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45092</v>
      </c>
      <c r="E56" s="1" t="n">
        <v>46326</v>
      </c>
      <c r="F56" t="inlineStr">
        <is>
          <t>VÄSTMANLANDS LÄN</t>
        </is>
      </c>
      <c r="G56" t="inlineStr">
        <is>
          <t>KUNGSÖR</t>
        </is>
      </c>
      <c r="H56" t="inlineStr">
        <is>
          <t>Allmännings- och besparingsskogar</t>
        </is>
      </c>
      <c r="I56" t="n">
        <v>20.3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52789-2024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45610</v>
      </c>
      <c r="E57" s="1" t="n">
        <v>46326</v>
      </c>
      <c r="F57" t="inlineStr">
        <is>
          <t>VÄSTMANLANDS LÄN</t>
        </is>
      </c>
      <c r="G57" t="inlineStr">
        <is>
          <t>KUNGSÖR</t>
        </is>
      </c>
      <c r="I57" t="n">
        <v>2.4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19420-2024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45429</v>
      </c>
      <c r="E58" s="1" t="n">
        <v>46326</v>
      </c>
      <c r="F58" t="inlineStr">
        <is>
          <t>VÄSTMANLANDS LÄN</t>
        </is>
      </c>
      <c r="G58" t="inlineStr">
        <is>
          <t>KUNGSÖR</t>
        </is>
      </c>
      <c r="I58" t="n">
        <v>3.8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60754-2024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45644</v>
      </c>
      <c r="E59" s="1" t="n">
        <v>46326</v>
      </c>
      <c r="F59" t="inlineStr">
        <is>
          <t>VÄSTMANLANDS LÄN</t>
        </is>
      </c>
      <c r="G59" t="inlineStr">
        <is>
          <t>KUNGSÖR</t>
        </is>
      </c>
      <c r="I59" t="n">
        <v>2.4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24023-2025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45796</v>
      </c>
      <c r="E60" s="1" t="n">
        <v>46326</v>
      </c>
      <c r="F60" t="inlineStr">
        <is>
          <t>VÄSTMANLANDS LÄN</t>
        </is>
      </c>
      <c r="G60" t="inlineStr">
        <is>
          <t>KUNGSÖR</t>
        </is>
      </c>
      <c r="I60" t="n">
        <v>1.5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35521-2026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46262</v>
      </c>
      <c r="E61" s="1" t="n">
        <v>46326</v>
      </c>
      <c r="F61" t="inlineStr">
        <is>
          <t>VÄSTMANLANDS LÄN</t>
        </is>
      </c>
      <c r="G61" t="inlineStr">
        <is>
          <t>KUNGSÖR</t>
        </is>
      </c>
      <c r="H61" t="inlineStr">
        <is>
          <t>Allmännings- och besparingsskogar</t>
        </is>
      </c>
      <c r="I61" t="n">
        <v>6.2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35459-2026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46262</v>
      </c>
      <c r="E62" s="1" t="n">
        <v>46326</v>
      </c>
      <c r="F62" t="inlineStr">
        <is>
          <t>VÄSTMANLANDS LÄN</t>
        </is>
      </c>
      <c r="G62" t="inlineStr">
        <is>
          <t>KUNGSÖR</t>
        </is>
      </c>
      <c r="I62" t="n">
        <v>3.5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37045-2026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46273</v>
      </c>
      <c r="E63" s="1" t="n">
        <v>46326</v>
      </c>
      <c r="F63" t="inlineStr">
        <is>
          <t>VÄSTMANLANDS LÄN</t>
        </is>
      </c>
      <c r="G63" t="inlineStr">
        <is>
          <t>KUNGSÖR</t>
        </is>
      </c>
      <c r="H63" t="inlineStr">
        <is>
          <t>Allmännings- och besparingsskogar</t>
        </is>
      </c>
      <c r="I63" t="n">
        <v>7.6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37054-2026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46273</v>
      </c>
      <c r="E64" s="1" t="n">
        <v>46326</v>
      </c>
      <c r="F64" t="inlineStr">
        <is>
          <t>VÄSTMANLANDS LÄN</t>
        </is>
      </c>
      <c r="G64" t="inlineStr">
        <is>
          <t>KUNGSÖR</t>
        </is>
      </c>
      <c r="H64" t="inlineStr">
        <is>
          <t>Allmännings- och besparingsskogar</t>
        </is>
      </c>
      <c r="I64" t="n">
        <v>6.3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37865-2026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46279</v>
      </c>
      <c r="E65" s="1" t="n">
        <v>46326</v>
      </c>
      <c r="F65" t="inlineStr">
        <is>
          <t>VÄSTMANLANDS LÄN</t>
        </is>
      </c>
      <c r="G65" t="inlineStr">
        <is>
          <t>KUNGSÖR</t>
        </is>
      </c>
      <c r="H65" t="inlineStr">
        <is>
          <t>Allmännings- och besparingsskogar</t>
        </is>
      </c>
      <c r="I65" t="n">
        <v>9.1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45191-2026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46325</v>
      </c>
      <c r="E66" s="1" t="n">
        <v>46326</v>
      </c>
      <c r="F66" t="inlineStr">
        <is>
          <t>VÄSTMANLANDS LÄN</t>
        </is>
      </c>
      <c r="G66" t="inlineStr">
        <is>
          <t>KUNGSÖR</t>
        </is>
      </c>
      <c r="I66" t="n">
        <v>10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45192-2026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46325</v>
      </c>
      <c r="E67" s="1" t="n">
        <v>46326</v>
      </c>
      <c r="F67" t="inlineStr">
        <is>
          <t>VÄSTMANLANDS LÄN</t>
        </is>
      </c>
      <c r="G67" t="inlineStr">
        <is>
          <t>KUNGSÖR</t>
        </is>
      </c>
      <c r="I67" t="n">
        <v>3.6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>
      <c r="A68" t="inlineStr">
        <is>
          <t>S 1310-2022</t>
        </is>
      </c>
      <c r="B68" t="inlineStr">
        <is>
          <t>samrådsanmälan</t>
        </is>
      </c>
      <c r="C68" t="inlineStr">
        <is>
          <t>Skogsgödsling</t>
        </is>
      </c>
      <c r="D68" s="1" t="n">
        <v>44628</v>
      </c>
      <c r="E68" s="1" t="n">
        <v>46326</v>
      </c>
      <c r="F68" t="inlineStr">
        <is>
          <t>VÄSTMANLANDS LÄN</t>
        </is>
      </c>
      <c r="G68" t="inlineStr">
        <is>
          <t>KUNGSÖR</t>
        </is>
      </c>
      <c r="I68" t="n">
        <v>36.9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2026-10-31T03:27:46Z</dcterms:created>
  <dcterms:modified xmlns:dcterms="http://purl.org/dc/terms/" xmlns:xsi="http://www.w3.org/2001/XMLSchema-instance" xsi:type="dcterms:W3CDTF">2026-10-31T03:27:46Z</dcterms:modified>
</cp:coreProperties>
</file>